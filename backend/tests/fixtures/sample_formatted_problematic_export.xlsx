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gsh-my.sharepoint.com/personal/helen_xue_cambridgeig_com/Documents/Documents/ZPersonal/Food/"/>
    </mc:Choice>
  </mc:AlternateContent>
  <xr:revisionPtr revIDLastSave="1" documentId="13_ncr:1_{18084880-E375-412B-987A-E045106E0454}" xr6:coauthVersionLast="47" xr6:coauthVersionMax="47" xr10:uidLastSave="{BD7B8E31-CEF6-4415-9EA8-1FD57770F302}"/>
  <bookViews>
    <workbookView xWindow="22932" yWindow="-108" windowWidth="30936" windowHeight="16776" xr2:uid="{00000000-000D-0000-FFFF-FFFF00000000}"/>
  </bookViews>
  <sheets>
    <sheet name="Worksheet" sheetId="1" r:id="rId1"/>
  </sheets>
  <definedNames>
    <definedName name="_xlnm._FilterDatabase" localSheetId="0" hidden="1">Worksheet!$A$75:$N$75</definedName>
    <definedName name="_xlnm.Print_Area" localSheetId="0">Worksheet!$A$4:$H$72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1" i="1" l="1"/>
  <c r="A26" i="1"/>
  <c r="A27" i="1" s="1"/>
  <c r="A25" i="1"/>
  <c r="A37" i="1"/>
  <c r="A38" i="1" s="1"/>
  <c r="A39" i="1" s="1"/>
  <c r="A40" i="1" s="1"/>
  <c r="A41" i="1" s="1"/>
  <c r="A34" i="1"/>
  <c r="A35" i="1" s="1"/>
  <c r="A9" i="1"/>
  <c r="A10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8" i="1" l="1"/>
  <c r="A29" i="1" s="1"/>
  <c r="A30" i="1" s="1"/>
  <c r="A11" i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l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<sst xmlns="http://schemas.openxmlformats.org/spreadsheetml/2006/main" count="377" uniqueCount="308">
  <si>
    <t>活动主题</t>
  </si>
  <si>
    <t>2月12日星期四
1⃣️订购方式：可在微信群接龙，或者将需要的产品发送给群主。，
2⃣️订购和送货时间：周四20:00-周六14:00订货，下周六送货（举例：2月12日20:00- 14日14:00订货，2月21日送货）。
3⃣️ 送货区域和金额：👏东湾、南湾、旧金山可接龙。买🈵️$70可以免费送货；如金额不够需另加$5配送费。
4⃣️付款方式：我们仅接受现金付款～
❤️现金付款请将现金装在信封内交给送货司机，将微信名写在信封上
5⃣️相关注意事项：
需要送货的朋友，麻烦填上您要送货的电话、地址和邮编，或者您的订单将会被作废或者延后处理！（地址不会被公开，只有群主可看到，请大家放心）</t>
  </si>
  <si>
    <t>报名人数</t>
  </si>
  <si>
    <t>报名名单</t>
  </si>
  <si>
    <t>序号</t>
  </si>
  <si>
    <t>姓名</t>
  </si>
  <si>
    <t>内容</t>
  </si>
  <si>
    <t>手机号码</t>
  </si>
  <si>
    <t>收货地址</t>
  </si>
  <si>
    <t>所在城市</t>
  </si>
  <si>
    <t>Diane</t>
  </si>
  <si>
    <t xml:space="preserve">花卷馒头 10个/份x3， 健康美味素菜包10个/份x1， 百叶包肉10/份x1，  总价：$75.00 </t>
  </si>
  <si>
    <t>20134 ljepava dr</t>
  </si>
  <si>
    <t>saratoga</t>
  </si>
  <si>
    <t xml:space="preserve">荠菜鲜肉馄饨 50/份x1， 花卷馒头 10个/份x1， 黄芽菜香菇笋丝里脊肉丝春卷  10个／份x1， 油面筋塞肉16 /份x1，  总价：$64.00 </t>
  </si>
  <si>
    <t>19800 Vallco Pkwy</t>
  </si>
  <si>
    <t>Cupertino</t>
  </si>
  <si>
    <t>XY</t>
  </si>
  <si>
    <t xml:space="preserve">红烧猪蹄 每份x1， 芝麻酥 6 / 份x1， 蛋黄酥 6个／份x1， 𠧧味双拼（口条十𠧧蛋）/份x1， 百叶包肉10/份x1，  总价：$84.00 </t>
  </si>
  <si>
    <t>10161 Firwood Dr</t>
  </si>
  <si>
    <t>一平</t>
  </si>
  <si>
    <t xml:space="preserve">红烧牛腱子 每份x1， 大肉粽 3个 ／份x2， 糯米八宝饭/份（自制豆沙）x1， 健康美味素菜包10个/份x1， 百叶包肉10/份x1，  总价：$102.00 </t>
  </si>
  <si>
    <t>米笑</t>
  </si>
  <si>
    <t xml:space="preserve">荠菜鲜肉馄饨 50/份x1， 花卷馒头 10个/份x2， 四喜烤麸 每份x1， 红烧牛腱子 每份x1， 港式豉油皇炒面 每份x1，  总价：$110.00 </t>
  </si>
  <si>
    <t>839 oregon ave</t>
  </si>
  <si>
    <t>palo alto</t>
  </si>
  <si>
    <t>Bing冰</t>
  </si>
  <si>
    <t xml:space="preserve">四喜烤麸 每份x1， 糖醋小排 每份x3， 港式豉油皇炒面 每份x1， 素鸡炒毛豆 /份x1， 百叶包肉10/份x2， 油面筋塞肉16 /份x1，  总价：$173.00 </t>
  </si>
  <si>
    <t>638 Camellia Way</t>
  </si>
  <si>
    <t>Los Altos</t>
  </si>
  <si>
    <t xml:space="preserve">红烧蹄膀 每份x1， 红烧牛腱子 每份x1， 肉松小贝 8个／份x1，  总价：$59.00 </t>
  </si>
  <si>
    <t>30560 San Antonio St</t>
  </si>
  <si>
    <t>Hayward</t>
  </si>
  <si>
    <t>炉子</t>
  </si>
  <si>
    <t xml:space="preserve">荠菜鲜肉馄饨 50/份x1， 老爸红烧狮子头 10个/份x1， 港式豉油皇炒面 每份x1， 豆沙春卷 10个／份x3， 肉松小贝 8个／份x1， 乳腐肉/份x1，  总价：$129.00 </t>
  </si>
  <si>
    <t>Santa Clara</t>
  </si>
  <si>
    <t>a yang</t>
  </si>
  <si>
    <t>肉末香茹胡罗卜糯米烧卖 15个/份x1， 荠菜鲜肉馄饨 50/份x3， 健康美味素菜包10个/份x1，  总价：$94.00 Byron</t>
  </si>
  <si>
    <t>10600 E states Dr</t>
  </si>
  <si>
    <t>Glenn</t>
  </si>
  <si>
    <t xml:space="preserve">荠菜鲜肉馄饨 50/份x1， 红烧猪蹄 每份x1， 鲜肉月饼 6个／份x1， 蛋黄酥 6个／份x1， 肉松小贝 8个／份x1， 大肉粽 3个 ／份x1，  总价：$104.00 </t>
  </si>
  <si>
    <t>Albany</t>
  </si>
  <si>
    <t>阿青</t>
  </si>
  <si>
    <t xml:space="preserve">荠菜鲜肉馄饨 50/份x1， 四喜烤麸 每份x1， 马蹄香菇腐皮卷x1， 黄芽菜香菇笋丝里脊肉丝春卷  10个／份x2， 乳腐肉/份x1，  总价：$108.00 </t>
  </si>
  <si>
    <t>541 Cambridge St</t>
  </si>
  <si>
    <t>Belmont</t>
  </si>
  <si>
    <t>Ling Liu</t>
  </si>
  <si>
    <t xml:space="preserve">花卷馒头 10个/份x1， 老爸红烧狮子头 10个/份x1， 马蹄香菇腐皮卷x1， 港式豉油皇炒面 每份x1， 豆沙春卷 10个／份x1， 肉松小贝 8个／份x1， 素鸡炒毛豆 /份x1， 百叶包肉10/份x1，  总价：$132.00 </t>
  </si>
  <si>
    <t>280 bridgehead ln</t>
  </si>
  <si>
    <t>Lanlan</t>
  </si>
  <si>
    <t xml:space="preserve">素鸭 每份x1， 四喜烤麸 每份x1， 马蹄香菇腐皮卷x1， 黄芽菜香菇笋丝里脊肉丝春卷  10个／份x2， 蛋黄酥 6个／份x1， 肉松小贝 8个／份x1，  总价：$108.00 </t>
  </si>
  <si>
    <t>639 Coleraine Ct</t>
  </si>
  <si>
    <t>Sunnyvale</t>
  </si>
  <si>
    <t>Coco</t>
  </si>
  <si>
    <t xml:space="preserve">肉末香茹胡罗卜糯米烧卖 15个/份x1， 花卷馒头 10个/份x1， 港式豉油皇炒面 每份x1， 𠧧味双拼（口条十𠧧蛋）/份x1， 百叶包肉10/份x1，  总价：$75.00 </t>
  </si>
  <si>
    <t>351 N Humboldt St</t>
  </si>
  <si>
    <t>San Mateo</t>
  </si>
  <si>
    <t xml:space="preserve">Joyce </t>
  </si>
  <si>
    <t>红烧蹄膀 每份x1， 糖醋小排 每份x1， 老爸红烧狮子头 10个/份x1， 港式豉油皇炒面 每份x1， 健康美味素菜包10个/份x1，  总价：$102.00 周六下午三點半去家中取貨</t>
  </si>
  <si>
    <t>San Ramon</t>
  </si>
  <si>
    <t>April</t>
  </si>
  <si>
    <t xml:space="preserve">肉末香茹胡罗卜糯米烧卖 15个/份x4， 乳腐肉/份x1，  总价：$88.00 </t>
  </si>
  <si>
    <t>562 Dublin Way</t>
  </si>
  <si>
    <t>Tami</t>
  </si>
  <si>
    <t xml:space="preserve">老爸红烧狮子头 10个/份x2， 马蹄香菇腐皮卷x2， 黄芽菜香菇笋丝里脊肉丝春卷  10个／份x3， 盐水鸭x2， 百叶包肉10/份x2， 油面筋塞肉16 /份x2，  总价：$250.00 </t>
  </si>
  <si>
    <t>11337 Eastbrook Ave</t>
  </si>
  <si>
    <t xml:space="preserve">肉末香茹胡罗卜糯米烧卖 15个/份x1， 四喜烤麸 每份x1， 黄芽菜香菇笋丝里脊肉丝春卷  10个／份x1， 糯米八宝饭/份（自制豆沙）x1， 油面筋塞肉16 /份x1， 乳腐肉/份x1，  总价：$100.00 </t>
  </si>
  <si>
    <t>251 Biarritz Cir</t>
  </si>
  <si>
    <t>Ivy</t>
  </si>
  <si>
    <t xml:space="preserve">黄芽菜香菇笋丝里脊肉丝春卷  10个／份x1， 蛋黄酥 6个／份x1， 肉松小贝 8个／份x2， 盐水鸭x1，  总价：$81.00 </t>
  </si>
  <si>
    <t>1154 Zürich Ct</t>
  </si>
  <si>
    <t>San Jose</t>
  </si>
  <si>
    <t>AdaPan</t>
  </si>
  <si>
    <t xml:space="preserve">肉末香茹胡罗卜糯米烧卖 15个/份x1， 荠菜鲜肉馄饨 50/份x1， 港式豉油皇炒面 每份x1， 糯米八宝饭/份（自制豆沙）x1， 百叶包肉10/份x1，  总价：$75.00 </t>
  </si>
  <si>
    <t>35882 dering pl</t>
  </si>
  <si>
    <t>Fremont</t>
  </si>
  <si>
    <t>Shuting</t>
  </si>
  <si>
    <t xml:space="preserve">荠菜鲜肉馄饨 50/份x1， 肉包子 10个/份x1， 花卷馒头 10个/份x1， 港式豉油皇炒面 每份x1， 鲜肉月饼 6个／份x1， 酱鸭腿/每份x1， 健康美味素菜包10个/份x1， 百叶包肉10/份x1，  总价：$148.00 </t>
  </si>
  <si>
    <t>161 Butano Ave</t>
  </si>
  <si>
    <t>jasmineus</t>
  </si>
  <si>
    <t xml:space="preserve">荠菜鲜肉馄饨 50/份x1， 肉包子 10个/份x1， 豆沙春卷 10个／份x1，  总价：$47.00 </t>
  </si>
  <si>
    <t>1139 Lynbrook way</t>
  </si>
  <si>
    <t>快乐的鱼</t>
  </si>
  <si>
    <t xml:space="preserve">花卷馒头 10个/份x1， 四喜烤麸 每份x1， 港式豉油皇炒面 每份x1， 肉松小贝 8个／份x1， 百叶包肉10/份x1，  总价：$72.00 </t>
  </si>
  <si>
    <t>1198 Johnson</t>
  </si>
  <si>
    <t>Lin</t>
  </si>
  <si>
    <t xml:space="preserve">荠菜鲜肉馄饨 50/份x1， 马蹄香菇腐皮卷x1， 百叶包肉10/份x1， 油面筋塞肉16 /份x1，  总价：$77.00 </t>
  </si>
  <si>
    <t>6746 Dartmoor Way</t>
  </si>
  <si>
    <t>Helen</t>
  </si>
  <si>
    <t xml:space="preserve">肉末香茹胡罗卜糯米烧卖 15个/份x1， 红烧牛腱子 每份x1， 马蹄香菇腐皮卷x1， 糯米八宝饭/份（自制豆沙）x1，  总价：$77.00 </t>
  </si>
  <si>
    <t>43214  Luzon Dr.</t>
  </si>
  <si>
    <t xml:space="preserve">荠菜鲜肉馄饨 50/份x3， 马蹄香菇腐皮卷x1， 肉松小贝 8个／份x1，  总价：$94.00 </t>
  </si>
  <si>
    <t>430 Hillcrest Drive</t>
  </si>
  <si>
    <t>山shan</t>
  </si>
  <si>
    <t xml:space="preserve">四喜烤麸 每份x1， 老爸红烧狮子头 10个/份x1， 马蹄香菇腐皮卷x1， 黄芽菜香菇笋丝里脊肉丝春卷  10个／份x1，  总价：$74.00 </t>
  </si>
  <si>
    <t xml:space="preserve">881 ferngrove dr </t>
  </si>
  <si>
    <t xml:space="preserve">Cupertino </t>
  </si>
  <si>
    <t>Linda</t>
  </si>
  <si>
    <t xml:space="preserve">花卷馒头 10个/份x1， 糖醋小排 每份x1， 肉松小贝 8个／份x1， 大肉粽 3个 ／份x1， 蟹壳黄 6/份／x1， 健康美味素菜包10个/份x2，  总价：$117.00 </t>
  </si>
  <si>
    <t>666 Rough and Ready Rd</t>
  </si>
  <si>
    <t>SanJose</t>
  </si>
  <si>
    <t>Yan  ོ</t>
  </si>
  <si>
    <t xml:space="preserve">荠菜鲜肉馄饨 50/份x1， 花卷馒头 10个/份x1， 黄芽菜香菇笋丝里脊肉丝春卷  10个／份x1， 百叶包肉10/份x1，  总价：$58.00 </t>
  </si>
  <si>
    <t>1097 huntingdon dr</t>
  </si>
  <si>
    <t>Ning</t>
  </si>
  <si>
    <t xml:space="preserve">花卷馒头 10个/份x1， 四喜烤麸 每份x8， 黄芽菜香菇笋丝里脊肉丝春卷  10个／份x1， 肉松小贝 8个／份x1，  总价：$171.00 </t>
  </si>
  <si>
    <t>13645 Saratoga Vista Ave</t>
  </si>
  <si>
    <t>Saratoga</t>
  </si>
  <si>
    <t>邵冰</t>
  </si>
  <si>
    <t xml:space="preserve">红烧猪蹄 每份x1， 糖醋小排 每份x1， 马蹄香菇腐皮卷x1， 港式豉油皇炒面 每份x1，  总价：$82.00 </t>
  </si>
  <si>
    <t>5848 Castano Dr.</t>
  </si>
  <si>
    <t>Aloha</t>
  </si>
  <si>
    <t xml:space="preserve">糯米八宝饭/份（自制豆沙）x2， 盐水鸭x1，  总价：$49.00 </t>
  </si>
  <si>
    <t>12297 via roncole</t>
  </si>
  <si>
    <t>Judy</t>
  </si>
  <si>
    <t xml:space="preserve">肉末香茹胡罗卜糯米烧卖 15个/份x1， 荠菜鲜肉馄饨 50/份x1， 花卷馒头 10个/份x1， 糖醋小排 每份x1， 老爸红烧狮子头 10个/份x1， 马蹄香菇腐皮卷x1， 黄芽菜香菇笋丝里脊肉丝春卷  10个／份x1， 大肉粽 3个 ／份x1，  总价：$145.00 </t>
  </si>
  <si>
    <t>1218 burgundy ct</t>
  </si>
  <si>
    <t>Cathy</t>
  </si>
  <si>
    <t xml:space="preserve">荠菜鲜肉馄饨 50/份x1， 红烧猪蹄 每份x1， 黄芽菜香菇笋丝里脊肉丝春卷  10个／份x1， 蛋黄酥 6个／份x1， 酱鸭腿/每份x1， 健康美味素菜包10个/份x1，  总价：$117.00 </t>
  </si>
  <si>
    <t>Jenny</t>
  </si>
  <si>
    <t xml:space="preserve">四喜烤麸 每份x1， 马蹄香菇腐皮卷x1， 黄芽菜香菇笋丝里脊肉丝春卷  10个／份x2， 𠧧味双拼（口条十𠧧蛋）/份x2，  总价：$92.00 </t>
  </si>
  <si>
    <t>904 Parrott Dr</t>
  </si>
  <si>
    <t>liqing</t>
  </si>
  <si>
    <t>肉末香茹胡罗卜糯米烧卖 15个/份x1， 马蹄香菇腐皮卷x1， 港式豉油皇炒面 每份x1， 百叶包肉10/份x1， 油面筋塞肉16 /份x1，  总价：$88.00 送货地址私信群主了</t>
  </si>
  <si>
    <t>10870 S Blaney Ave</t>
  </si>
  <si>
    <t>Joanne</t>
  </si>
  <si>
    <t xml:space="preserve">肉末香茹胡罗卜糯米烧卖 15个/份x2， 荠菜鲜肉馄饨 50/份x2， 四喜烤麸 每份x1， 马蹄香菇腐皮卷x1， 港式豉油皇炒面 每份x1， 黄芽菜香菇笋丝里脊肉丝春卷  10个／份x5， 糯米八宝饭/份（自制豆沙）x1， 素鸡炒毛豆 /份x1， 健康美味素菜包10个/份x2， 百叶包肉10/份x1，  总价：$258.00 </t>
  </si>
  <si>
    <t>22428 Cupertino rd</t>
  </si>
  <si>
    <t>xx</t>
  </si>
  <si>
    <t xml:space="preserve">肉末香茹胡罗卜糯米烧卖 15个/份x1， 四喜烤麸 每份x2， 红烧蹄膀 每份x1， 老爸红烧狮子头 10个/份x1， 黄芽菜香菇笋丝里脊肉丝春卷  10个／份x1， 酱鸭腿/每份x1， 百叶包肉10/份x1，  总价：$145.00 </t>
  </si>
  <si>
    <t>Milpitas</t>
  </si>
  <si>
    <t>Eva.L</t>
  </si>
  <si>
    <t xml:space="preserve">荠菜鲜肉馄饨 50/份x1， 四喜烤麸 每份x1， 港式豉油皇炒面 每份x1， 黄芽菜香菇笋丝里脊肉丝春卷  10个／份x2， 鲜肉月饼 6个／份x1， 糯米八宝饭/份（自制豆沙）x1， 乳腐肉/份x1，  总价：$130.00 </t>
  </si>
  <si>
    <t>Atherton</t>
  </si>
  <si>
    <t>SHopper</t>
  </si>
  <si>
    <t xml:space="preserve">老爸红烧狮子头 10个/份x1， 大肉粽 3个 ／份x1， 健康美味素菜包10个/份x1， 百叶包肉10/份x2，  总价：$86.00 </t>
  </si>
  <si>
    <t>4108 George Ave #2</t>
  </si>
  <si>
    <t>YY</t>
  </si>
  <si>
    <t xml:space="preserve">肉末香茹胡罗卜糯米烧卖 15个/份x2， 素鸭 每份x2， 四喜烤麸 每份x1， 红烧牛腱子 每份x1， 港式豉油皇炒面 每份x1， 酱鸭腿/每份x1， 健康美味素菜包10个/份x1， 百叶包肉10/份x1， 乳腐肉/份x1，  总价：$216.00 </t>
  </si>
  <si>
    <t>11628 Birch Spring CT</t>
  </si>
  <si>
    <t>jean</t>
  </si>
  <si>
    <t>素鸭 每份x1， 四喜烤麸 每份x1， 马蹄香菇腐皮卷x1， 素鸡炒毛豆 /份x1，  总价：$77.00 我要送货上门。10435 imperial ave Cupertino ca 95014</t>
  </si>
  <si>
    <t>DJ</t>
  </si>
  <si>
    <t xml:space="preserve">四喜烤麸 每份x3， 港式豉油皇炒面 每份x1， 大肉粽 3个 ／份x1，  总价：$82.00 </t>
  </si>
  <si>
    <t>10211 Richwood Dr</t>
  </si>
  <si>
    <t>Sarah</t>
  </si>
  <si>
    <t xml:space="preserve">荠菜鲜肉馄饨 50/份x4，  总价：$80.00 </t>
  </si>
  <si>
    <t>1654 Pala Ranch Circle</t>
  </si>
  <si>
    <t xml:space="preserve">素鸭 每份x1， 四喜烤麸 每份x1， 老爸红烧狮子头 10个/份x1， 港式豉油皇炒面 每份x1， 百叶包肉10/份x1， 油面筋塞肉16 /份x1，  总价：$108.00 </t>
  </si>
  <si>
    <t>15217 central avenues</t>
  </si>
  <si>
    <t>San Leandro</t>
  </si>
  <si>
    <t>勾勾</t>
  </si>
  <si>
    <t xml:space="preserve">荠菜鲜肉馄饨 50/份x1， 红烧牛腱子 每份x1， 老爸红烧狮子头 10个/份x1， 肉松小贝 8个／份x1，  总价：$84.00 </t>
  </si>
  <si>
    <t>2833 Tramanto Dr</t>
  </si>
  <si>
    <t>San Carlos</t>
  </si>
  <si>
    <t>Julie</t>
  </si>
  <si>
    <t xml:space="preserve">肉包子 10个/份x1， 四喜烤麸 每份x1， 红烧牛腱子 每份x1， 马蹄香菇腐皮卷x1， 港式豉油皇炒面 每份x1， 大肉粽 3个 ／份x1，  总价：$117.00 </t>
  </si>
  <si>
    <t>31082 San Antonio St.</t>
  </si>
  <si>
    <t>Novita</t>
  </si>
  <si>
    <t xml:space="preserve">四喜烤麸 每份x1， 港式豉油皇炒面 每份x1， 乳腐肉/份x1，  总价：$61.00 </t>
  </si>
  <si>
    <t>Frances</t>
  </si>
  <si>
    <t xml:space="preserve">素鸭 每份x1， 马蹄香菇腐皮卷x1， 港式豉油皇炒面 每份x1， 乳腐肉/份x1，  总价：$84.00 </t>
  </si>
  <si>
    <t>437 Bedford Loop</t>
  </si>
  <si>
    <t>Rachel</t>
  </si>
  <si>
    <t xml:space="preserve">红烧牛腱子 每份x1，  总价：$29.00 </t>
  </si>
  <si>
    <t>Yuan Yang</t>
  </si>
  <si>
    <t xml:space="preserve">四喜烤麸 每份x1， 糖醋小排 每份x2， 港式豉油皇炒面 每份x1，  总价：$81.00 </t>
  </si>
  <si>
    <t>刘淑明</t>
  </si>
  <si>
    <t xml:space="preserve">荠菜鲜肉馄饨 50/份x1， 四喜烤麸 每份x1， 马蹄香菇腐皮卷x1， 黄芽菜香菇笋丝里脊肉丝春卷  10个／份x1， 肉松小贝 8个／份x1，  总价：$81.00 </t>
  </si>
  <si>
    <t>1606 wright ave</t>
  </si>
  <si>
    <t>Brandy</t>
  </si>
  <si>
    <t xml:space="preserve">肉末香茹胡罗卜糯米烧卖 15个/份x1， 红烧蹄膀 每份x2， 老爸红烧狮子头 10个/份x1， 港式豉油皇炒面 每份x1， 乳腐肉/份x1，  总价：$121.00 </t>
  </si>
  <si>
    <t>Colleen</t>
  </si>
  <si>
    <t xml:space="preserve">红烧蹄膀 每份x1， 黄芽菜香菇笋丝里脊肉丝春卷  10个／份x2， 豆沙春卷 10个／份x1， 糯米八宝饭/份（自制豆沙）x1，  总价：$59.00 </t>
  </si>
  <si>
    <t>1194 Somerset Dr</t>
  </si>
  <si>
    <t xml:space="preserve">荠菜鲜肉馄饨 50/份x1， 素鸭 每份x1， 四喜烤麸 每份x1， 港式豉油皇炒面 每份x1， 百叶包肉10/份x1，  总价：$84.00 </t>
  </si>
  <si>
    <t>Christine</t>
  </si>
  <si>
    <t xml:space="preserve">荠菜鲜肉馄饨 50/份x1， 四喜烤麸 每份x1， 糖醋小排 每份x1， 黄芽菜香菇笋丝里脊肉丝春卷  10个／份x1， 百叶包肉10/份x1，  总价：$85.00 </t>
  </si>
  <si>
    <t xml:space="preserve">115 la Rinconada Dr </t>
  </si>
  <si>
    <t xml:space="preserve">Los Gatos </t>
  </si>
  <si>
    <t>Pattie</t>
  </si>
  <si>
    <t xml:space="preserve">肉末香茹胡罗卜糯米烧卖 15个/份x1， 四喜烤麸 每份x1， 红烧猪蹄 每份x1， 港式豉油皇炒面 每份x1， 百叶包肉10/份x1，  总价：$81.00 </t>
  </si>
  <si>
    <t>133 N Claremont St</t>
  </si>
  <si>
    <t>kathy</t>
  </si>
  <si>
    <t xml:space="preserve">马蹄香菇腐皮卷x1， 黄芽菜香菇笋丝里脊肉丝春卷  10个／份x2， 糯米八宝饭/份（自制豆沙）x3， 盐水鸭x1，  总价：$102.00 </t>
  </si>
  <si>
    <t>6373 Devonshire Dr</t>
  </si>
  <si>
    <t xml:space="preserve">肉末香茹胡罗卜糯米烧卖 15个/份x1， 荠菜鲜肉馄饨 50/份x1， 肉包子 10个/份x1， 外婆红烧肉卤蛋每份x1， 红烧牛腱子 每份x1，  总价：$111.00 </t>
  </si>
  <si>
    <t>36577 Lakewood Dr</t>
  </si>
  <si>
    <t>Newark</t>
  </si>
  <si>
    <t xml:space="preserve">红烧猪蹄 每份x1， 红烧蹄膀 每份x2，  总价：$57.00 </t>
  </si>
  <si>
    <t>6828 Rainbow Dr</t>
  </si>
  <si>
    <t>商品汇总</t>
  </si>
  <si>
    <t>商品</t>
  </si>
  <si>
    <t>单价</t>
  </si>
  <si>
    <t>数量</t>
  </si>
  <si>
    <t>金额</t>
  </si>
  <si>
    <t>肉末香茹胡罗卜糯米烧卖 15个/份</t>
  </si>
  <si>
    <t>荠菜鲜肉馄饨 50/份</t>
  </si>
  <si>
    <t>肉包子 10个/份</t>
  </si>
  <si>
    <t>花卷馒头 10个/份</t>
  </si>
  <si>
    <t>素鸭 每份</t>
  </si>
  <si>
    <t>四喜烤麸 每份</t>
  </si>
  <si>
    <t>红烧猪蹄 每份</t>
  </si>
  <si>
    <t>红烧蹄膀 每份</t>
  </si>
  <si>
    <t>糖醋小排 每份</t>
  </si>
  <si>
    <t>外婆红烧肉卤蛋每份</t>
  </si>
  <si>
    <t>红烧牛腱子 每份</t>
  </si>
  <si>
    <t>老爸红烧狮子头 10个/份</t>
  </si>
  <si>
    <t>马蹄香菇腐皮卷</t>
  </si>
  <si>
    <t>芝麻酥 6 / 份</t>
  </si>
  <si>
    <t>港式豉油皇炒面 每份</t>
  </si>
  <si>
    <t>黄芽菜香菇笋丝里脊肉丝春卷  10个／份</t>
  </si>
  <si>
    <t>豆沙春卷 10个／份</t>
  </si>
  <si>
    <t>鲜肉月饼 6个／份</t>
  </si>
  <si>
    <t>蛋黄酥 6个／份</t>
  </si>
  <si>
    <t>肉松小贝 8个／份</t>
  </si>
  <si>
    <t>大肉粽 3个 ／份</t>
  </si>
  <si>
    <t>酱鸭腿/每份</t>
  </si>
  <si>
    <t>糯米八宝饭/份（自制豆沙）</t>
  </si>
  <si>
    <t>𠧧味双拼（口条十𠧧蛋）/份</t>
  </si>
  <si>
    <t>蟹壳黄 6/份／</t>
  </si>
  <si>
    <t>素鸡炒毛豆 /份</t>
  </si>
  <si>
    <t>健康美味素菜包10个/份</t>
  </si>
  <si>
    <t>盐水鸭</t>
  </si>
  <si>
    <t>百叶包肉10/份</t>
  </si>
  <si>
    <t>油面筋塞肉16 /份</t>
  </si>
  <si>
    <t>乳腐肉/份</t>
  </si>
  <si>
    <t>总计</t>
  </si>
  <si>
    <t>Tom</t>
  </si>
  <si>
    <t>Lisa Gao</t>
  </si>
  <si>
    <t>思敏</t>
  </si>
  <si>
    <t>水晶梨</t>
  </si>
  <si>
    <t>小慧</t>
  </si>
  <si>
    <t>青青</t>
  </si>
  <si>
    <t>Wendy</t>
  </si>
  <si>
    <t>GraceGe</t>
  </si>
  <si>
    <t>70 Crestlake Dr</t>
  </si>
  <si>
    <t>497 Bancroft St</t>
  </si>
  <si>
    <t>810 Ohlone Ave #819</t>
  </si>
  <si>
    <t>1120 Vista Monte Dr</t>
  </si>
  <si>
    <t>431 Juanita Way</t>
  </si>
  <si>
    <t>1079 sandalwood ln</t>
  </si>
  <si>
    <t>60 Parkwood Drive</t>
  </si>
  <si>
    <t>10435 imperial ave</t>
  </si>
  <si>
    <t>30560 san antonio st</t>
  </si>
  <si>
    <t>35633 galen pl</t>
  </si>
  <si>
    <t>1098 Norfolk dr</t>
  </si>
  <si>
    <t>2605 miller ave unit 3505 
（门禁2690760）</t>
  </si>
  <si>
    <t>6372 Slida Dr</t>
  </si>
  <si>
    <t>邮编</t>
  </si>
  <si>
    <t>SF</t>
  </si>
  <si>
    <t>MV</t>
  </si>
  <si>
    <t>RC</t>
  </si>
  <si>
    <t>Daniel1</t>
  </si>
  <si>
    <t>Daniel2</t>
  </si>
  <si>
    <t>Daniel3</t>
  </si>
  <si>
    <t>周四1</t>
  </si>
  <si>
    <t>周四2</t>
  </si>
  <si>
    <t>周四3</t>
  </si>
  <si>
    <t>周五爸1</t>
  </si>
  <si>
    <t>周五爸2</t>
  </si>
  <si>
    <t>周五爸3</t>
  </si>
  <si>
    <t>周五爸4</t>
  </si>
  <si>
    <t>周五爸5</t>
  </si>
  <si>
    <t>周五爸6</t>
  </si>
  <si>
    <t>周五爸7</t>
  </si>
  <si>
    <t>周五爸8</t>
  </si>
  <si>
    <t>周五爸9</t>
  </si>
  <si>
    <t>周五爸10</t>
  </si>
  <si>
    <t>周五爸11</t>
  </si>
  <si>
    <t>周五D1</t>
  </si>
  <si>
    <t>周五D2</t>
  </si>
  <si>
    <t>周五D3</t>
  </si>
  <si>
    <t>星巴克</t>
  </si>
  <si>
    <t>充电+加油站上厕所</t>
  </si>
  <si>
    <t>1206 W Hillsdale Blvd, San Mateo, CA 94403</t>
  </si>
  <si>
    <t>12960 Saratoga Sunnyvale Rd, Saratoga, CA 95070</t>
  </si>
  <si>
    <t>654 Fremont Ave, Los Altos, CA 94024</t>
  </si>
  <si>
    <t>Daniel4</t>
  </si>
  <si>
    <t>Daniel5</t>
  </si>
  <si>
    <t>Daniel6</t>
  </si>
  <si>
    <t>Daniel7</t>
  </si>
  <si>
    <t>Daniel8</t>
  </si>
  <si>
    <t>Daniel9</t>
  </si>
  <si>
    <t>Daniel10</t>
  </si>
  <si>
    <t>周五送货</t>
  </si>
  <si>
    <t>周六送货</t>
  </si>
  <si>
    <t>荠菜鲜肉馄饨50/份</t>
  </si>
  <si>
    <t>港式豉油皇炒面每份</t>
  </si>
  <si>
    <t>肉松小贝8个／份</t>
  </si>
  <si>
    <t>肉末香茹胡罗卜糯米烧卖15个/份</t>
  </si>
  <si>
    <t>四喜烤麸每份</t>
  </si>
  <si>
    <t>黄芽菜香菇笋丝里脊肉丝春卷10个／份</t>
  </si>
  <si>
    <t>豆沙春卷10个／份</t>
  </si>
  <si>
    <t>花卷馒头10个/份</t>
  </si>
  <si>
    <t>糖醋小排每份</t>
  </si>
  <si>
    <t>红烧牛腱子每份</t>
  </si>
  <si>
    <t>老爸红烧狮子头10个/份</t>
  </si>
  <si>
    <t>肉包子10个/份</t>
  </si>
  <si>
    <t>红烧蹄膀每份</t>
  </si>
  <si>
    <t>大肉粽3个／份</t>
  </si>
  <si>
    <t>素鸭每份</t>
  </si>
  <si>
    <t>鲜肉月饼6个／份</t>
  </si>
  <si>
    <t>蛋黄酥6个／份</t>
  </si>
  <si>
    <t>蟹壳黄6/份</t>
  </si>
  <si>
    <t>素鸡炒毛豆/份</t>
  </si>
  <si>
    <t>油面筋塞肉16/份</t>
  </si>
  <si>
    <t>红烧猪蹄每份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</si>
</sst>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8" fontId="0" fillId="0" borderId="0" xfId="0" applyNumberFormat="1"/>
    <xf numFmtId="18" fontId="1" fillId="0" borderId="0" xfId="0" applyNumberFormat="1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8" fontId="0" fillId="0" borderId="1" xfId="0" applyNumberFormat="1" applyBorder="1"/>
    <xf numFmtId="0" fontId="1" fillId="0" borderId="1" xfId="0" applyFont="1" applyBorder="1" applyAlignment="1">
      <alignment wrapText="1"/>
    </xf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7"/>
  <sheetViews>
    <sheetView tabSelected="1" topLeftCell="A61" workbookViewId="0">
      <selection activeCell="E37" sqref="E37:G72"/>
    </sheetView>
  </sheetViews>
  <sheetFormatPr defaultRowHeight="14.4" x14ac:dyDescent="0.3"/>
  <cols>
    <col min="3" max="3" width="9.33203125" bestFit="1" customWidth="1"/>
    <col min="4" max="4" width="11" bestFit="1" customWidth="1"/>
    <col min="5" max="5" width="21.88671875" bestFit="1" customWidth="1"/>
    <col min="6" max="6" width="11" bestFit="1" customWidth="1"/>
    <col min="7" max="7" width="6" bestFit="1" customWidth="1"/>
    <col min="8" max="8" width="62.44140625" customWidth="1"/>
    <col min="10" max="10" width="35.6640625" bestFit="1" customWidth="1"/>
    <col min="13" max="13" width="35.6640625" bestFit="1" customWidth="1"/>
  </cols>
  <sheetData>
    <row r="1" spans="1:8" x14ac:dyDescent="0.3">
      <c r="A1" s="1">
        <v>0.33333333333333331</v>
      </c>
      <c r="B1" t="s">
        <v>0</v>
      </c>
      <c r="C1" s="9" t="s">
        <v>1</v>
      </c>
      <c r="D1" s="9"/>
      <c r="E1" s="9"/>
      <c r="F1" s="9"/>
      <c r="G1" s="9"/>
      <c r="H1" s="9"/>
    </row>
    <row r="2" spans="1:8" x14ac:dyDescent="0.3">
      <c r="A2" s="1">
        <v>0.39583333333333331</v>
      </c>
      <c r="B2" t="s">
        <v>2</v>
      </c>
      <c r="C2">
        <v>60</v>
      </c>
    </row>
    <row r="3" spans="1:8" x14ac:dyDescent="0.3">
      <c r="A3" s="2">
        <v>0.60416666666666663</v>
      </c>
      <c r="B3" t="s">
        <v>3</v>
      </c>
    </row>
    <row r="4" spans="1:8" x14ac:dyDescent="0.3">
      <c r="A4" s="3"/>
      <c r="B4" s="3" t="s">
        <v>4</v>
      </c>
      <c r="C4" s="3" t="s">
        <v>5</v>
      </c>
      <c r="D4" s="3" t="s">
        <v>7</v>
      </c>
      <c r="E4" s="3" t="s">
        <v>8</v>
      </c>
      <c r="F4" s="3" t="s">
        <v>9</v>
      </c>
      <c r="G4" s="3" t="s">
        <v>249</v>
      </c>
      <c r="H4" s="3" t="s">
        <v>6</v>
      </c>
    </row>
    <row r="5" spans="1:8" ht="46.8" x14ac:dyDescent="0.3">
      <c r="A5" s="3"/>
      <c r="B5" s="4" t="s">
        <v>256</v>
      </c>
      <c r="C5" s="3" t="s">
        <v>155</v>
      </c>
      <c r="D5" s="3">
        <v>5104155678</v>
      </c>
      <c r="E5" s="3" t="s">
        <v>157</v>
      </c>
      <c r="F5" s="3" t="s">
        <v>32</v>
      </c>
      <c r="G5" s="3">
        <v>94544</v>
      </c>
      <c r="H5" s="5" t="s">
        <v>156</v>
      </c>
    </row>
    <row r="6" spans="1:8" ht="31.2" x14ac:dyDescent="0.3">
      <c r="A6" s="3"/>
      <c r="B6" s="4" t="s">
        <v>257</v>
      </c>
      <c r="C6" s="3" t="s">
        <v>158</v>
      </c>
      <c r="D6" s="3">
        <v>6265894997</v>
      </c>
      <c r="E6" s="3" t="s">
        <v>244</v>
      </c>
      <c r="F6" s="3" t="s">
        <v>32</v>
      </c>
      <c r="G6" s="3">
        <v>94544</v>
      </c>
      <c r="H6" s="5" t="s">
        <v>159</v>
      </c>
    </row>
    <row r="7" spans="1:8" ht="31.2" x14ac:dyDescent="0.3">
      <c r="A7" s="3"/>
      <c r="B7" s="4" t="s">
        <v>258</v>
      </c>
      <c r="C7" s="3" t="s">
        <v>232</v>
      </c>
      <c r="D7" s="3">
        <v>4152159898</v>
      </c>
      <c r="E7" s="3" t="s">
        <v>31</v>
      </c>
      <c r="F7" s="3" t="s">
        <v>32</v>
      </c>
      <c r="G7" s="3">
        <v>94544</v>
      </c>
      <c r="H7" s="5" t="s">
        <v>30</v>
      </c>
    </row>
    <row r="8" spans="1:8" x14ac:dyDescent="0.3">
      <c r="A8" s="3"/>
      <c r="B8" s="3"/>
      <c r="C8" s="3"/>
      <c r="D8" s="3"/>
      <c r="E8" s="3"/>
      <c r="F8" s="3"/>
      <c r="G8" s="3"/>
      <c r="H8" s="6"/>
    </row>
    <row r="9" spans="1:8" ht="46.8" x14ac:dyDescent="0.3">
      <c r="A9" s="7">
        <f>A2+TIME(0,15,0)</f>
        <v>0.40625</v>
      </c>
      <c r="B9" s="4" t="s">
        <v>270</v>
      </c>
      <c r="C9" s="3" t="s">
        <v>33</v>
      </c>
      <c r="D9" s="3">
        <v>9094507002</v>
      </c>
      <c r="E9" s="3" t="s">
        <v>237</v>
      </c>
      <c r="F9" s="3" t="s">
        <v>35</v>
      </c>
      <c r="G9" s="3">
        <v>95051</v>
      </c>
      <c r="H9" s="5" t="s">
        <v>34</v>
      </c>
    </row>
    <row r="10" spans="1:8" ht="62.4" x14ac:dyDescent="0.3">
      <c r="A10" s="7">
        <f>A9+TIME(0,20,0)</f>
        <v>0.4201388888888889</v>
      </c>
      <c r="B10" s="4" t="s">
        <v>271</v>
      </c>
      <c r="C10" s="3" t="s">
        <v>76</v>
      </c>
      <c r="D10" s="3">
        <v>2176938361</v>
      </c>
      <c r="E10" s="3" t="s">
        <v>78</v>
      </c>
      <c r="F10" s="3" t="s">
        <v>52</v>
      </c>
      <c r="G10" s="3">
        <v>94086</v>
      </c>
      <c r="H10" s="5" t="s">
        <v>77</v>
      </c>
    </row>
    <row r="11" spans="1:8" ht="31.2" x14ac:dyDescent="0.3">
      <c r="A11" s="7">
        <f>A10+TIME(0,10,0)</f>
        <v>0.42708333333333331</v>
      </c>
      <c r="B11" s="4" t="s">
        <v>272</v>
      </c>
      <c r="C11" s="3" t="s">
        <v>160</v>
      </c>
      <c r="D11" s="3">
        <v>4083908887</v>
      </c>
      <c r="E11" s="3" t="s">
        <v>162</v>
      </c>
      <c r="F11" s="3" t="s">
        <v>251</v>
      </c>
      <c r="G11" s="3">
        <v>94043</v>
      </c>
      <c r="H11" s="5" t="s">
        <v>161</v>
      </c>
    </row>
    <row r="12" spans="1:8" ht="15.6" x14ac:dyDescent="0.3">
      <c r="A12" s="3"/>
      <c r="B12" s="3"/>
      <c r="C12" s="3"/>
      <c r="D12" s="3"/>
      <c r="E12" s="3"/>
      <c r="F12" s="3"/>
      <c r="G12" s="3"/>
      <c r="H12" s="5"/>
    </row>
    <row r="13" spans="1:8" ht="62.4" x14ac:dyDescent="0.3">
      <c r="A13" s="7">
        <f>A3+TIME(0,15,0)</f>
        <v>0.61458333333333326</v>
      </c>
      <c r="B13" s="4" t="s">
        <v>259</v>
      </c>
      <c r="C13" s="3" t="s">
        <v>46</v>
      </c>
      <c r="D13" s="3">
        <v>5105796399</v>
      </c>
      <c r="E13" s="3" t="s">
        <v>48</v>
      </c>
      <c r="F13" s="3" t="s">
        <v>32</v>
      </c>
      <c r="G13" s="3">
        <v>94544</v>
      </c>
      <c r="H13" s="5" t="s">
        <v>47</v>
      </c>
    </row>
    <row r="14" spans="1:8" ht="31.2" x14ac:dyDescent="0.3">
      <c r="A14" s="7">
        <f>A13+TIME(0,20,0)</f>
        <v>0.6284722222222221</v>
      </c>
      <c r="B14" s="4" t="s">
        <v>260</v>
      </c>
      <c r="C14" s="3" t="s">
        <v>165</v>
      </c>
      <c r="D14" s="3">
        <v>4085477766</v>
      </c>
      <c r="E14" s="3" t="s">
        <v>245</v>
      </c>
      <c r="F14" s="3" t="s">
        <v>75</v>
      </c>
      <c r="G14" s="3">
        <v>94555</v>
      </c>
      <c r="H14" s="5" t="s">
        <v>166</v>
      </c>
    </row>
    <row r="15" spans="1:8" ht="62.4" x14ac:dyDescent="0.3">
      <c r="A15" s="7">
        <f>A14+TIME(0,10,0)</f>
        <v>0.63541666666666652</v>
      </c>
      <c r="B15" s="4" t="s">
        <v>261</v>
      </c>
      <c r="C15" s="3" t="s">
        <v>72</v>
      </c>
      <c r="D15" s="3">
        <v>4083917387</v>
      </c>
      <c r="E15" s="3" t="s">
        <v>74</v>
      </c>
      <c r="F15" s="3" t="s">
        <v>75</v>
      </c>
      <c r="G15" s="3">
        <v>94536</v>
      </c>
      <c r="H15" s="5" t="s">
        <v>73</v>
      </c>
    </row>
    <row r="16" spans="1:8" ht="46.8" x14ac:dyDescent="0.3">
      <c r="A16" s="7">
        <f>A15+TIME(0,15,0)</f>
        <v>0.64583333333333315</v>
      </c>
      <c r="B16" s="4" t="s">
        <v>262</v>
      </c>
      <c r="C16" s="3" t="s">
        <v>228</v>
      </c>
      <c r="D16" s="3">
        <v>5103816866</v>
      </c>
      <c r="E16" s="3" t="s">
        <v>187</v>
      </c>
      <c r="F16" s="3" t="s">
        <v>188</v>
      </c>
      <c r="G16" s="3">
        <v>94560</v>
      </c>
      <c r="H16" s="5" t="s">
        <v>186</v>
      </c>
    </row>
    <row r="17" spans="1:8" ht="46.8" x14ac:dyDescent="0.3">
      <c r="A17" s="7">
        <f>A16+TIME(0,25,0)</f>
        <v>0.66319444444444431</v>
      </c>
      <c r="B17" s="4" t="s">
        <v>263</v>
      </c>
      <c r="C17" s="3" t="s">
        <v>88</v>
      </c>
      <c r="D17" s="3">
        <v>5106730799</v>
      </c>
      <c r="E17" s="3" t="s">
        <v>90</v>
      </c>
      <c r="F17" s="3" t="s">
        <v>75</v>
      </c>
      <c r="G17" s="3">
        <v>94539</v>
      </c>
      <c r="H17" s="5" t="s">
        <v>89</v>
      </c>
    </row>
    <row r="18" spans="1:8" ht="62.4" x14ac:dyDescent="0.3">
      <c r="A18" s="7">
        <f>A17+TIME(0,15,0)</f>
        <v>0.67361111111111094</v>
      </c>
      <c r="B18" s="4" t="s">
        <v>264</v>
      </c>
      <c r="C18" s="3" t="s">
        <v>128</v>
      </c>
      <c r="D18" s="3">
        <v>5743394874</v>
      </c>
      <c r="E18" s="3" t="s">
        <v>241</v>
      </c>
      <c r="F18" s="3" t="s">
        <v>130</v>
      </c>
      <c r="G18" s="3">
        <v>95035</v>
      </c>
      <c r="H18" s="5" t="s">
        <v>129</v>
      </c>
    </row>
    <row r="19" spans="1:8" ht="46.8" x14ac:dyDescent="0.3">
      <c r="A19" s="7">
        <f>A18+TIME(0,15,0)</f>
        <v>0.68402777777777757</v>
      </c>
      <c r="B19" s="4" t="s">
        <v>265</v>
      </c>
      <c r="C19" s="3" t="s">
        <v>172</v>
      </c>
      <c r="D19" s="3">
        <v>4157709200</v>
      </c>
      <c r="E19" s="3" t="s">
        <v>174</v>
      </c>
      <c r="F19" s="3" t="s">
        <v>71</v>
      </c>
      <c r="G19" s="3">
        <v>95132</v>
      </c>
      <c r="H19" s="5" t="s">
        <v>173</v>
      </c>
    </row>
    <row r="20" spans="1:8" ht="78" x14ac:dyDescent="0.3">
      <c r="A20" s="7">
        <f>A19+TIME(0,5,0)</f>
        <v>0.68749999999999978</v>
      </c>
      <c r="B20" s="4" t="s">
        <v>266</v>
      </c>
      <c r="C20" s="3" t="s">
        <v>114</v>
      </c>
      <c r="D20" s="3">
        <v>4085990410</v>
      </c>
      <c r="E20" s="3" t="s">
        <v>116</v>
      </c>
      <c r="F20" s="3" t="s">
        <v>71</v>
      </c>
      <c r="G20" s="3">
        <v>95132</v>
      </c>
      <c r="H20" s="5" t="s">
        <v>115</v>
      </c>
    </row>
    <row r="21" spans="1:8" ht="31.2" x14ac:dyDescent="0.3">
      <c r="A21" s="7">
        <f>A20+TIME(0,10,0)</f>
        <v>0.6944444444444442</v>
      </c>
      <c r="B21" s="4" t="s">
        <v>267</v>
      </c>
      <c r="C21" s="3" t="s">
        <v>68</v>
      </c>
      <c r="D21" s="3">
        <v>6692610806</v>
      </c>
      <c r="E21" s="3" t="s">
        <v>70</v>
      </c>
      <c r="F21" s="3" t="s">
        <v>71</v>
      </c>
      <c r="G21" s="3">
        <v>95132</v>
      </c>
      <c r="H21" s="5" t="s">
        <v>69</v>
      </c>
    </row>
    <row r="22" spans="1:8" ht="15.6" x14ac:dyDescent="0.3">
      <c r="A22" s="7">
        <f>A21+TIME(0,10,0)</f>
        <v>0.70138888888888862</v>
      </c>
      <c r="B22" s="4" t="s">
        <v>268</v>
      </c>
      <c r="C22" s="3" t="s">
        <v>145</v>
      </c>
      <c r="D22" s="3">
        <v>9252342923</v>
      </c>
      <c r="E22" s="3" t="s">
        <v>147</v>
      </c>
      <c r="F22" s="3" t="s">
        <v>71</v>
      </c>
      <c r="G22" s="3">
        <v>95133</v>
      </c>
      <c r="H22" s="5" t="s">
        <v>146</v>
      </c>
    </row>
    <row r="23" spans="1:8" ht="46.8" x14ac:dyDescent="0.3">
      <c r="A23" s="7">
        <f>A22+TIME(0,10,0)</f>
        <v>0.70833333333333304</v>
      </c>
      <c r="B23" s="4" t="s">
        <v>269</v>
      </c>
      <c r="C23" s="3" t="s">
        <v>97</v>
      </c>
      <c r="D23" s="3">
        <v>6619165710</v>
      </c>
      <c r="E23" s="3" t="s">
        <v>99</v>
      </c>
      <c r="F23" s="3" t="s">
        <v>100</v>
      </c>
      <c r="G23" s="3">
        <v>95133</v>
      </c>
      <c r="H23" s="5" t="s">
        <v>98</v>
      </c>
    </row>
    <row r="24" spans="1:8" x14ac:dyDescent="0.3">
      <c r="A24" s="3"/>
      <c r="B24" s="3"/>
      <c r="C24" s="3"/>
      <c r="D24" s="3"/>
      <c r="E24" s="3"/>
      <c r="F24" s="3"/>
      <c r="G24" s="3"/>
      <c r="H24" s="6"/>
    </row>
    <row r="25" spans="1:8" ht="46.8" x14ac:dyDescent="0.3">
      <c r="A25" s="7">
        <f>A2+TIME(0,45,0)</f>
        <v>0.42708333333333331</v>
      </c>
      <c r="B25" s="4" t="s">
        <v>253</v>
      </c>
      <c r="C25" s="3" t="s">
        <v>17</v>
      </c>
      <c r="D25" s="3">
        <v>4088138315</v>
      </c>
      <c r="E25" s="3" t="s">
        <v>19</v>
      </c>
      <c r="F25" s="3" t="s">
        <v>16</v>
      </c>
      <c r="G25" s="3">
        <v>95014</v>
      </c>
      <c r="H25" s="5" t="s">
        <v>18</v>
      </c>
    </row>
    <row r="26" spans="1:8" ht="46.8" x14ac:dyDescent="0.3">
      <c r="A26" s="7">
        <f>A25+TIME(0,5,0)</f>
        <v>0.43055555555555552</v>
      </c>
      <c r="B26" s="4" t="s">
        <v>254</v>
      </c>
      <c r="C26" s="3" t="s">
        <v>140</v>
      </c>
      <c r="D26" s="3">
        <v>4087815853</v>
      </c>
      <c r="E26" s="3" t="s">
        <v>243</v>
      </c>
      <c r="F26" s="3" t="s">
        <v>96</v>
      </c>
      <c r="G26" s="3">
        <v>95014</v>
      </c>
      <c r="H26" s="5" t="s">
        <v>141</v>
      </c>
    </row>
    <row r="27" spans="1:8" ht="93.6" x14ac:dyDescent="0.3">
      <c r="A27" s="7">
        <f>A26+TIME(0,10,0)</f>
        <v>0.43749999999999994</v>
      </c>
      <c r="B27" s="4" t="s">
        <v>255</v>
      </c>
      <c r="C27" s="3" t="s">
        <v>125</v>
      </c>
      <c r="D27" s="3">
        <v>4088232092</v>
      </c>
      <c r="E27" s="3" t="s">
        <v>127</v>
      </c>
      <c r="F27" s="3" t="s">
        <v>16</v>
      </c>
      <c r="G27" s="3">
        <v>95014</v>
      </c>
      <c r="H27" s="5" t="s">
        <v>126</v>
      </c>
    </row>
    <row r="28" spans="1:8" ht="46.8" x14ac:dyDescent="0.3">
      <c r="A28" s="7">
        <f>A27+TIME(0,10,0)</f>
        <v>0.44444444444444436</v>
      </c>
      <c r="B28" s="4" t="s">
        <v>278</v>
      </c>
      <c r="C28" s="3" t="s">
        <v>167</v>
      </c>
      <c r="D28" s="3">
        <v>4088812582</v>
      </c>
      <c r="E28" s="3" t="s">
        <v>169</v>
      </c>
      <c r="F28" s="3" t="s">
        <v>52</v>
      </c>
      <c r="G28" s="3">
        <v>94087</v>
      </c>
      <c r="H28" s="5" t="s">
        <v>168</v>
      </c>
    </row>
    <row r="29" spans="1:8" ht="31.2" x14ac:dyDescent="0.3">
      <c r="A29" s="7">
        <f>A28+TIME(0,10,0)</f>
        <v>0.45138888888888878</v>
      </c>
      <c r="B29" s="4" t="s">
        <v>279</v>
      </c>
      <c r="C29" s="3" t="s">
        <v>60</v>
      </c>
      <c r="D29" s="3">
        <v>4089871339</v>
      </c>
      <c r="E29" s="3" t="s">
        <v>62</v>
      </c>
      <c r="F29" s="3" t="s">
        <v>52</v>
      </c>
      <c r="G29" s="3">
        <v>94087</v>
      </c>
      <c r="H29" s="5" t="s">
        <v>61</v>
      </c>
    </row>
    <row r="30" spans="1:8" ht="46.8" x14ac:dyDescent="0.3">
      <c r="A30" s="7">
        <f>A29+TIME(0,5,0)</f>
        <v>0.45486111111111099</v>
      </c>
      <c r="B30" s="4" t="s">
        <v>280</v>
      </c>
      <c r="C30" s="3" t="s">
        <v>49</v>
      </c>
      <c r="D30" s="3">
        <v>6505166077</v>
      </c>
      <c r="E30" s="3" t="s">
        <v>51</v>
      </c>
      <c r="F30" s="3" t="s">
        <v>52</v>
      </c>
      <c r="G30" s="3">
        <v>94087</v>
      </c>
      <c r="H30" s="5" t="s">
        <v>50</v>
      </c>
    </row>
    <row r="31" spans="1:8" ht="46.8" x14ac:dyDescent="0.3">
      <c r="A31" s="7">
        <f>A30+TIME(0,10,0)</f>
        <v>0.46180555555555541</v>
      </c>
      <c r="B31" s="4" t="s">
        <v>281</v>
      </c>
      <c r="C31" s="3" t="s">
        <v>122</v>
      </c>
      <c r="D31" s="3">
        <v>4089168148</v>
      </c>
      <c r="E31" s="3" t="s">
        <v>124</v>
      </c>
      <c r="F31" s="3" t="s">
        <v>16</v>
      </c>
      <c r="G31" s="3">
        <v>95014</v>
      </c>
      <c r="H31" s="5" t="s">
        <v>123</v>
      </c>
    </row>
    <row r="32" spans="1:8" ht="15.6" x14ac:dyDescent="0.3">
      <c r="A32" s="3"/>
      <c r="B32" s="3"/>
      <c r="C32" s="3"/>
      <c r="D32" s="3"/>
      <c r="E32" s="3"/>
      <c r="F32" s="3"/>
      <c r="G32" s="3"/>
      <c r="H32" s="5"/>
    </row>
    <row r="33" spans="1:8" ht="62.4" x14ac:dyDescent="0.3">
      <c r="A33" s="7">
        <v>0.64583333333333337</v>
      </c>
      <c r="B33" s="4" t="s">
        <v>282</v>
      </c>
      <c r="C33" s="3" t="s">
        <v>57</v>
      </c>
      <c r="D33" s="3">
        <v>9256401020</v>
      </c>
      <c r="E33" s="3" t="s">
        <v>239</v>
      </c>
      <c r="F33" s="3" t="s">
        <v>59</v>
      </c>
      <c r="G33" s="3">
        <v>94582</v>
      </c>
      <c r="H33" s="5" t="s">
        <v>58</v>
      </c>
    </row>
    <row r="34" spans="1:8" ht="46.8" x14ac:dyDescent="0.3">
      <c r="A34" s="7">
        <f>A33+TIME(0,30,0)</f>
        <v>0.66666666666666674</v>
      </c>
      <c r="B34" s="4" t="s">
        <v>283</v>
      </c>
      <c r="C34" s="3" t="s">
        <v>234</v>
      </c>
      <c r="D34" s="3">
        <v>5105666407</v>
      </c>
      <c r="E34" s="3" t="s">
        <v>149</v>
      </c>
      <c r="F34" s="3" t="s">
        <v>150</v>
      </c>
      <c r="G34" s="3">
        <v>94578</v>
      </c>
      <c r="H34" s="5" t="s">
        <v>148</v>
      </c>
    </row>
    <row r="35" spans="1:8" ht="46.8" x14ac:dyDescent="0.3">
      <c r="A35" s="7">
        <f>A34+TIME(0,30,0)</f>
        <v>0.68750000000000011</v>
      </c>
      <c r="B35" s="4" t="s">
        <v>284</v>
      </c>
      <c r="C35" s="3" t="s">
        <v>39</v>
      </c>
      <c r="D35" s="3">
        <v>5106313866</v>
      </c>
      <c r="E35" s="3" t="s">
        <v>238</v>
      </c>
      <c r="F35" s="3" t="s">
        <v>41</v>
      </c>
      <c r="G35" s="3">
        <v>94706</v>
      </c>
      <c r="H35" s="5" t="s">
        <v>40</v>
      </c>
    </row>
    <row r="36" spans="1:8" ht="15.6" x14ac:dyDescent="0.3">
      <c r="A36" s="3"/>
      <c r="B36" s="3"/>
      <c r="C36" s="3"/>
      <c r="D36" s="3"/>
      <c r="E36" s="3"/>
      <c r="F36" s="3"/>
      <c r="G36" s="3"/>
      <c r="H36" s="5"/>
    </row>
    <row r="37" spans="1:8" ht="46.8" x14ac:dyDescent="0.3">
      <c r="A37" s="7">
        <f>A1+TIME(0,45,0)</f>
        <v>0.36458333333333331</v>
      </c>
      <c r="B37" s="3">
        <v>1</v>
      </c>
      <c r="C37" s="3" t="s">
        <v>176</v>
      </c>
      <c r="D37" s="3">
        <v>4156991108</v>
      </c>
      <c r="E37" s="3" t="s">
        <v>178</v>
      </c>
      <c r="F37" s="3" t="s">
        <v>179</v>
      </c>
      <c r="G37" s="3">
        <v>95030</v>
      </c>
      <c r="H37" s="5" t="s">
        <v>177</v>
      </c>
    </row>
    <row r="38" spans="1:8" ht="46.8" x14ac:dyDescent="0.3">
      <c r="A38" s="7">
        <f>A37+TIME(0,15,0)</f>
        <v>0.375</v>
      </c>
      <c r="B38" s="3">
        <v>2</v>
      </c>
      <c r="C38" s="3" t="s">
        <v>104</v>
      </c>
      <c r="D38" s="3">
        <v>4087682183</v>
      </c>
      <c r="E38" s="3" t="s">
        <v>106</v>
      </c>
      <c r="F38" s="3" t="s">
        <v>107</v>
      </c>
      <c r="G38" s="3">
        <v>95070</v>
      </c>
      <c r="H38" s="5" t="s">
        <v>105</v>
      </c>
    </row>
    <row r="39" spans="1:8" ht="31.2" x14ac:dyDescent="0.3">
      <c r="A39" s="7">
        <f>A38+TIME(0,5,0)</f>
        <v>0.37847222222222221</v>
      </c>
      <c r="B39" s="3">
        <v>3</v>
      </c>
      <c r="C39" s="3" t="s">
        <v>10</v>
      </c>
      <c r="D39" s="3">
        <v>4085689451</v>
      </c>
      <c r="E39" s="3" t="s">
        <v>12</v>
      </c>
      <c r="F39" s="3" t="s">
        <v>13</v>
      </c>
      <c r="G39" s="3">
        <v>95070</v>
      </c>
      <c r="H39" s="5" t="s">
        <v>11</v>
      </c>
    </row>
    <row r="40" spans="1:8" ht="15.6" x14ac:dyDescent="0.3">
      <c r="A40" s="7">
        <f>A39+TIME(0,5,0)+TIME(0,10,0)</f>
        <v>0.38888888888888884</v>
      </c>
      <c r="B40" s="3"/>
      <c r="C40" s="4" t="s">
        <v>273</v>
      </c>
      <c r="D40" s="3"/>
      <c r="E40" s="4" t="s">
        <v>276</v>
      </c>
      <c r="F40" s="3"/>
      <c r="G40" s="3"/>
      <c r="H40" s="5"/>
    </row>
    <row r="41" spans="1:8" ht="15.6" x14ac:dyDescent="0.3">
      <c r="A41" s="7">
        <f>A40+TIME(0,10,0)</f>
        <v>0.39583333333333326</v>
      </c>
      <c r="B41" s="3">
        <v>4</v>
      </c>
      <c r="C41" s="3" t="s">
        <v>111</v>
      </c>
      <c r="D41" s="3">
        <v>4086948846</v>
      </c>
      <c r="E41" s="3" t="s">
        <v>113</v>
      </c>
      <c r="F41" s="3" t="s">
        <v>107</v>
      </c>
      <c r="G41" s="3">
        <v>95070</v>
      </c>
      <c r="H41" s="5" t="s">
        <v>112</v>
      </c>
    </row>
    <row r="42" spans="1:8" ht="62.4" x14ac:dyDescent="0.3">
      <c r="A42" s="7">
        <f>A41+TIME(0,10,0)</f>
        <v>0.40277777777777768</v>
      </c>
      <c r="B42" s="3">
        <v>5</v>
      </c>
      <c r="C42" s="3" t="s">
        <v>137</v>
      </c>
      <c r="D42" s="3">
        <v>6107371531</v>
      </c>
      <c r="E42" s="3" t="s">
        <v>139</v>
      </c>
      <c r="F42" s="3" t="s">
        <v>16</v>
      </c>
      <c r="G42" s="3">
        <v>95014</v>
      </c>
      <c r="H42" s="5" t="s">
        <v>138</v>
      </c>
    </row>
    <row r="43" spans="1:8" ht="15.6" x14ac:dyDescent="0.3">
      <c r="A43" s="7">
        <f>A42+TIME(0,10,0)</f>
        <v>0.4097222222222221</v>
      </c>
      <c r="B43" s="3">
        <v>6</v>
      </c>
      <c r="C43" s="3" t="s">
        <v>229</v>
      </c>
      <c r="D43" s="3">
        <v>4085694947</v>
      </c>
      <c r="E43" s="3" t="s">
        <v>190</v>
      </c>
      <c r="F43" s="3" t="s">
        <v>71</v>
      </c>
      <c r="G43" s="3">
        <v>95129</v>
      </c>
      <c r="H43" s="5" t="s">
        <v>189</v>
      </c>
    </row>
    <row r="44" spans="1:8" ht="31.2" x14ac:dyDescent="0.3">
      <c r="A44" s="7">
        <f t="shared" ref="A44:A52" si="0">A43+TIME(0,5,0)</f>
        <v>0.41319444444444431</v>
      </c>
      <c r="B44" s="3">
        <v>7</v>
      </c>
      <c r="C44" s="3" t="s">
        <v>85</v>
      </c>
      <c r="D44" s="3">
        <v>4084104096</v>
      </c>
      <c r="E44" s="3" t="s">
        <v>87</v>
      </c>
      <c r="F44" s="3" t="s">
        <v>71</v>
      </c>
      <c r="G44" s="3">
        <v>95129</v>
      </c>
      <c r="H44" s="5" t="s">
        <v>86</v>
      </c>
    </row>
    <row r="45" spans="1:8" ht="31.2" x14ac:dyDescent="0.3">
      <c r="A45" s="7">
        <f t="shared" si="0"/>
        <v>0.41666666666666652</v>
      </c>
      <c r="B45" s="3">
        <v>8</v>
      </c>
      <c r="C45" s="3" t="s">
        <v>235</v>
      </c>
      <c r="D45" s="3">
        <v>4083759067</v>
      </c>
      <c r="E45" s="3" t="s">
        <v>248</v>
      </c>
      <c r="F45" s="3" t="s">
        <v>71</v>
      </c>
      <c r="G45" s="3">
        <v>95129</v>
      </c>
      <c r="H45" s="5" t="s">
        <v>175</v>
      </c>
    </row>
    <row r="46" spans="1:8" ht="46.8" x14ac:dyDescent="0.3">
      <c r="A46" s="7">
        <f t="shared" si="0"/>
        <v>0.42013888888888873</v>
      </c>
      <c r="B46" s="3">
        <v>9</v>
      </c>
      <c r="C46" s="3" t="s">
        <v>183</v>
      </c>
      <c r="D46" s="3">
        <v>4083989275</v>
      </c>
      <c r="E46" s="3" t="s">
        <v>185</v>
      </c>
      <c r="F46" s="3" t="s">
        <v>71</v>
      </c>
      <c r="G46" s="3">
        <v>95129</v>
      </c>
      <c r="H46" s="5" t="s">
        <v>184</v>
      </c>
    </row>
    <row r="47" spans="1:8" ht="46.8" x14ac:dyDescent="0.3">
      <c r="A47" s="7">
        <f t="shared" si="0"/>
        <v>0.42361111111111094</v>
      </c>
      <c r="B47" s="3">
        <v>10</v>
      </c>
      <c r="C47" s="3" t="s">
        <v>82</v>
      </c>
      <c r="D47" s="3">
        <v>4086148154</v>
      </c>
      <c r="E47" s="3" t="s">
        <v>84</v>
      </c>
      <c r="F47" s="3" t="s">
        <v>71</v>
      </c>
      <c r="G47" s="3">
        <v>95129</v>
      </c>
      <c r="H47" s="5" t="s">
        <v>83</v>
      </c>
    </row>
    <row r="48" spans="1:8" ht="31.2" x14ac:dyDescent="0.3">
      <c r="A48" s="7">
        <f t="shared" si="0"/>
        <v>0.42708333333333315</v>
      </c>
      <c r="B48" s="3">
        <v>11</v>
      </c>
      <c r="C48" s="3" t="s">
        <v>79</v>
      </c>
      <c r="D48" s="3">
        <v>6505758282</v>
      </c>
      <c r="E48" s="3" t="s">
        <v>81</v>
      </c>
      <c r="F48" s="3" t="s">
        <v>71</v>
      </c>
      <c r="G48" s="3">
        <v>95129</v>
      </c>
      <c r="H48" s="5" t="s">
        <v>80</v>
      </c>
    </row>
    <row r="49" spans="1:8" ht="46.8" x14ac:dyDescent="0.3">
      <c r="A49" s="7">
        <f t="shared" si="0"/>
        <v>0.43055555555555536</v>
      </c>
      <c r="B49" s="3">
        <v>12</v>
      </c>
      <c r="C49" s="3" t="s">
        <v>101</v>
      </c>
      <c r="D49" s="3">
        <v>6692499076</v>
      </c>
      <c r="E49" s="3" t="s">
        <v>103</v>
      </c>
      <c r="F49" s="3" t="s">
        <v>71</v>
      </c>
      <c r="G49" s="3">
        <v>95129</v>
      </c>
      <c r="H49" s="5" t="s">
        <v>102</v>
      </c>
    </row>
    <row r="50" spans="1:8" ht="31.2" x14ac:dyDescent="0.3">
      <c r="A50" s="7">
        <f t="shared" si="0"/>
        <v>0.43402777777777757</v>
      </c>
      <c r="B50" s="3">
        <v>13</v>
      </c>
      <c r="C50" s="3" t="s">
        <v>108</v>
      </c>
      <c r="D50" s="3">
        <v>8589522066</v>
      </c>
      <c r="E50" s="3" t="s">
        <v>110</v>
      </c>
      <c r="F50" s="3" t="s">
        <v>71</v>
      </c>
      <c r="G50" s="3">
        <v>95129</v>
      </c>
      <c r="H50" s="5" t="s">
        <v>109</v>
      </c>
    </row>
    <row r="51" spans="1:8" ht="15.6" x14ac:dyDescent="0.3">
      <c r="A51" s="7">
        <f t="shared" si="0"/>
        <v>0.43749999999999978</v>
      </c>
      <c r="B51" s="3">
        <v>14</v>
      </c>
      <c r="C51" s="3" t="s">
        <v>163</v>
      </c>
      <c r="D51" s="3">
        <v>4082163896</v>
      </c>
      <c r="E51" s="3" t="s">
        <v>246</v>
      </c>
      <c r="F51" s="3" t="s">
        <v>71</v>
      </c>
      <c r="G51" s="3">
        <v>95129</v>
      </c>
      <c r="H51" s="5" t="s">
        <v>164</v>
      </c>
    </row>
    <row r="52" spans="1:8" ht="46.8" x14ac:dyDescent="0.3">
      <c r="A52" s="7">
        <f t="shared" si="0"/>
        <v>0.44097222222222199</v>
      </c>
      <c r="B52" s="3">
        <v>15</v>
      </c>
      <c r="C52" s="3" t="s">
        <v>93</v>
      </c>
      <c r="D52" s="3">
        <v>4086370990</v>
      </c>
      <c r="E52" s="3" t="s">
        <v>95</v>
      </c>
      <c r="F52" s="3" t="s">
        <v>96</v>
      </c>
      <c r="G52" s="3">
        <v>95014</v>
      </c>
      <c r="H52" s="5" t="s">
        <v>94</v>
      </c>
    </row>
    <row r="53" spans="1:8" ht="31.2" x14ac:dyDescent="0.3">
      <c r="A53" s="7">
        <f>A52+TIME(0,10,0)</f>
        <v>0.44791666666666641</v>
      </c>
      <c r="B53" s="3">
        <v>16</v>
      </c>
      <c r="C53" s="3" t="s">
        <v>36</v>
      </c>
      <c r="D53" s="3">
        <v>6696667082</v>
      </c>
      <c r="E53" s="3" t="s">
        <v>38</v>
      </c>
      <c r="F53" s="3" t="s">
        <v>16</v>
      </c>
      <c r="G53" s="3">
        <v>95014</v>
      </c>
      <c r="H53" s="5" t="s">
        <v>37</v>
      </c>
    </row>
    <row r="54" spans="1:8" ht="31.2" x14ac:dyDescent="0.3">
      <c r="A54" s="7">
        <f>A53+TIME(0,5,0)</f>
        <v>0.45138888888888862</v>
      </c>
      <c r="B54" s="3">
        <v>17</v>
      </c>
      <c r="C54" s="3" t="s">
        <v>142</v>
      </c>
      <c r="D54" s="3">
        <v>4084807137</v>
      </c>
      <c r="E54" s="3" t="s">
        <v>144</v>
      </c>
      <c r="F54" s="3" t="s">
        <v>16</v>
      </c>
      <c r="G54" s="3">
        <v>95014</v>
      </c>
      <c r="H54" s="5" t="s">
        <v>143</v>
      </c>
    </row>
    <row r="55" spans="1:8" ht="46.8" x14ac:dyDescent="0.3">
      <c r="A55" s="7">
        <f>A54+TIME(0,5,0)</f>
        <v>0.45486111111111083</v>
      </c>
      <c r="B55" s="3">
        <v>18</v>
      </c>
      <c r="C55" s="3" t="s">
        <v>233</v>
      </c>
      <c r="D55" s="3">
        <v>4083003569</v>
      </c>
      <c r="E55" s="3" t="s">
        <v>15</v>
      </c>
      <c r="F55" s="3" t="s">
        <v>16</v>
      </c>
      <c r="G55" s="3">
        <v>95014</v>
      </c>
      <c r="H55" s="5" t="s">
        <v>14</v>
      </c>
    </row>
    <row r="56" spans="1:8" ht="46.8" x14ac:dyDescent="0.3">
      <c r="A56" s="7">
        <f>A55+TIME(0,15,0)</f>
        <v>0.46527777777777751</v>
      </c>
      <c r="B56" s="3">
        <v>19</v>
      </c>
      <c r="C56" s="3" t="s">
        <v>63</v>
      </c>
      <c r="D56" s="3">
        <v>4156017855</v>
      </c>
      <c r="E56" s="3" t="s">
        <v>65</v>
      </c>
      <c r="F56" s="3" t="s">
        <v>29</v>
      </c>
      <c r="G56" s="3">
        <v>94024</v>
      </c>
      <c r="H56" s="5" t="s">
        <v>64</v>
      </c>
    </row>
    <row r="57" spans="1:8" ht="15.6" x14ac:dyDescent="0.3">
      <c r="A57" s="7">
        <f>A56+TIME(0,5,0)+TIME(0,10,0)</f>
        <v>0.47569444444444414</v>
      </c>
      <c r="B57" s="3"/>
      <c r="C57" s="4" t="s">
        <v>273</v>
      </c>
      <c r="D57" s="3"/>
      <c r="E57" s="4" t="s">
        <v>277</v>
      </c>
      <c r="F57" s="3"/>
      <c r="G57" s="3"/>
      <c r="H57" s="5"/>
    </row>
    <row r="58" spans="1:8" ht="46.8" x14ac:dyDescent="0.3">
      <c r="A58" s="7">
        <f>A57+TIME(0,10,0)</f>
        <v>0.48263888888888856</v>
      </c>
      <c r="B58" s="3">
        <v>20</v>
      </c>
      <c r="C58" s="3" t="s">
        <v>26</v>
      </c>
      <c r="D58" s="3">
        <v>6503838863</v>
      </c>
      <c r="E58" s="3" t="s">
        <v>28</v>
      </c>
      <c r="F58" s="3" t="s">
        <v>29</v>
      </c>
      <c r="G58" s="3">
        <v>94024</v>
      </c>
      <c r="H58" s="5" t="s">
        <v>27</v>
      </c>
    </row>
    <row r="59" spans="1:8" ht="62.4" x14ac:dyDescent="0.3">
      <c r="A59" s="7">
        <f>A58+TIME(0,5,0)</f>
        <v>0.48611111111111077</v>
      </c>
      <c r="B59" s="3">
        <v>21</v>
      </c>
      <c r="C59" s="3" t="s">
        <v>231</v>
      </c>
      <c r="D59" s="3">
        <v>4084317397</v>
      </c>
      <c r="E59" s="3" t="s">
        <v>67</v>
      </c>
      <c r="F59" s="3" t="s">
        <v>29</v>
      </c>
      <c r="G59" s="3">
        <v>94022</v>
      </c>
      <c r="H59" s="5" t="s">
        <v>66</v>
      </c>
    </row>
    <row r="60" spans="1:8" ht="62.4" x14ac:dyDescent="0.3">
      <c r="A60" s="7">
        <f>A59+TIME(0,10,0)</f>
        <v>0.49305555555555519</v>
      </c>
      <c r="B60" s="3">
        <v>22</v>
      </c>
      <c r="C60" s="3" t="s">
        <v>117</v>
      </c>
      <c r="D60" s="3">
        <v>4088262548</v>
      </c>
      <c r="E60" s="3" t="s">
        <v>240</v>
      </c>
      <c r="F60" s="3" t="s">
        <v>29</v>
      </c>
      <c r="G60" s="3">
        <v>94022</v>
      </c>
      <c r="H60" s="5" t="s">
        <v>118</v>
      </c>
    </row>
    <row r="61" spans="1:8" ht="46.8" x14ac:dyDescent="0.3">
      <c r="A61" s="7">
        <f>A60+TIME(0,15,0)</f>
        <v>0.50347222222222188</v>
      </c>
      <c r="B61" s="3">
        <v>23</v>
      </c>
      <c r="C61" s="3" t="s">
        <v>170</v>
      </c>
      <c r="D61" s="3">
        <v>2132914449</v>
      </c>
      <c r="E61" s="8" t="s">
        <v>247</v>
      </c>
      <c r="F61" s="3" t="s">
        <v>251</v>
      </c>
      <c r="G61" s="3">
        <v>94040</v>
      </c>
      <c r="H61" s="5" t="s">
        <v>171</v>
      </c>
    </row>
    <row r="62" spans="1:8" ht="46.8" x14ac:dyDescent="0.3">
      <c r="A62" s="7">
        <f>A61+TIME(0,20,0)</f>
        <v>0.51736111111111072</v>
      </c>
      <c r="B62" s="3">
        <v>24</v>
      </c>
      <c r="C62" s="3" t="s">
        <v>22</v>
      </c>
      <c r="D62" s="3">
        <v>4086443995</v>
      </c>
      <c r="E62" s="4" t="s">
        <v>24</v>
      </c>
      <c r="F62" s="3" t="s">
        <v>25</v>
      </c>
      <c r="G62" s="3">
        <v>94303</v>
      </c>
      <c r="H62" s="5" t="s">
        <v>23</v>
      </c>
    </row>
    <row r="63" spans="1:8" ht="62.4" x14ac:dyDescent="0.3">
      <c r="A63" s="7">
        <f>A62+TIME(0,20,0)</f>
        <v>0.53124999999999956</v>
      </c>
      <c r="B63" s="3">
        <v>25</v>
      </c>
      <c r="C63" s="3" t="s">
        <v>131</v>
      </c>
      <c r="D63" s="3">
        <v>5106761838</v>
      </c>
      <c r="E63" s="3" t="s">
        <v>242</v>
      </c>
      <c r="F63" s="3" t="s">
        <v>133</v>
      </c>
      <c r="G63" s="3">
        <v>94027</v>
      </c>
      <c r="H63" s="5" t="s">
        <v>132</v>
      </c>
    </row>
    <row r="64" spans="1:8" ht="31.2" x14ac:dyDescent="0.3">
      <c r="A64" s="7">
        <f>A63+TIME(0,25,0)</f>
        <v>0.54861111111111072</v>
      </c>
      <c r="B64" s="3">
        <v>26</v>
      </c>
      <c r="C64" s="3" t="s">
        <v>230</v>
      </c>
      <c r="D64" s="3">
        <v>4082158933</v>
      </c>
      <c r="E64" s="3" t="s">
        <v>92</v>
      </c>
      <c r="F64" s="3" t="s">
        <v>252</v>
      </c>
      <c r="G64" s="3">
        <v>94062</v>
      </c>
      <c r="H64" s="5" t="s">
        <v>91</v>
      </c>
    </row>
    <row r="65" spans="1:14" ht="46.8" x14ac:dyDescent="0.3">
      <c r="A65" s="7">
        <f>A64+TIME(0,10,0)</f>
        <v>0.55555555555555514</v>
      </c>
      <c r="B65" s="3">
        <v>27</v>
      </c>
      <c r="C65" s="3" t="s">
        <v>151</v>
      </c>
      <c r="D65" s="3">
        <v>9173875788</v>
      </c>
      <c r="E65" s="3" t="s">
        <v>153</v>
      </c>
      <c r="F65" s="3" t="s">
        <v>154</v>
      </c>
      <c r="G65" s="3">
        <v>94070</v>
      </c>
      <c r="H65" s="5" t="s">
        <v>152</v>
      </c>
    </row>
    <row r="66" spans="1:14" ht="46.8" x14ac:dyDescent="0.3">
      <c r="A66" s="7">
        <f>A65+TIME(0,20,0)</f>
        <v>0.56944444444444398</v>
      </c>
      <c r="B66" s="3">
        <v>28</v>
      </c>
      <c r="C66" s="3" t="s">
        <v>42</v>
      </c>
      <c r="D66" s="3">
        <v>5738238925</v>
      </c>
      <c r="E66" s="3" t="s">
        <v>44</v>
      </c>
      <c r="F66" s="3" t="s">
        <v>45</v>
      </c>
      <c r="G66" s="3">
        <v>94002</v>
      </c>
      <c r="H66" s="5" t="s">
        <v>43</v>
      </c>
    </row>
    <row r="67" spans="1:14" ht="46.8" x14ac:dyDescent="0.3">
      <c r="A67" s="7">
        <f>A66+TIME(0,5,0)</f>
        <v>0.57291666666666619</v>
      </c>
      <c r="B67" s="3">
        <v>29</v>
      </c>
      <c r="C67" s="3" t="s">
        <v>134</v>
      </c>
      <c r="D67" s="3">
        <v>6193158141</v>
      </c>
      <c r="E67" s="3" t="s">
        <v>136</v>
      </c>
      <c r="F67" s="3" t="s">
        <v>56</v>
      </c>
      <c r="G67" s="3">
        <v>94403</v>
      </c>
      <c r="H67" s="5" t="s">
        <v>135</v>
      </c>
    </row>
    <row r="68" spans="1:14" ht="15.6" x14ac:dyDescent="0.3">
      <c r="A68" s="7">
        <f>A67+TIME(0,15,0)++TIME(0,15,0)</f>
        <v>0.59374999999999944</v>
      </c>
      <c r="B68" s="3"/>
      <c r="C68" s="4" t="s">
        <v>274</v>
      </c>
      <c r="D68" s="3"/>
      <c r="E68" s="4" t="s">
        <v>275</v>
      </c>
      <c r="F68" s="3"/>
      <c r="G68" s="3"/>
      <c r="H68" s="5"/>
    </row>
    <row r="69" spans="1:14" ht="46.8" x14ac:dyDescent="0.3">
      <c r="A69" s="7">
        <f>A68+TIME(0,15,0)</f>
        <v>0.60416666666666607</v>
      </c>
      <c r="B69" s="3">
        <v>30</v>
      </c>
      <c r="C69" s="3" t="s">
        <v>119</v>
      </c>
      <c r="D69" s="3">
        <v>8148804711</v>
      </c>
      <c r="E69" s="3" t="s">
        <v>121</v>
      </c>
      <c r="F69" s="3" t="s">
        <v>56</v>
      </c>
      <c r="G69" s="3">
        <v>94402</v>
      </c>
      <c r="H69" s="5" t="s">
        <v>120</v>
      </c>
    </row>
    <row r="70" spans="1:14" ht="46.8" x14ac:dyDescent="0.3">
      <c r="A70" s="7">
        <f>A69+TIME(0,15,0)</f>
        <v>0.6145833333333327</v>
      </c>
      <c r="B70" s="3">
        <v>31</v>
      </c>
      <c r="C70" s="3" t="s">
        <v>180</v>
      </c>
      <c r="D70" s="3">
        <v>5107100890</v>
      </c>
      <c r="E70" s="3" t="s">
        <v>182</v>
      </c>
      <c r="F70" s="3" t="s">
        <v>56</v>
      </c>
      <c r="G70" s="3">
        <v>94401</v>
      </c>
      <c r="H70" s="5" t="s">
        <v>181</v>
      </c>
    </row>
    <row r="71" spans="1:14" ht="46.8" x14ac:dyDescent="0.3">
      <c r="A71" s="7">
        <f>A70+TIME(0,5,0)</f>
        <v>0.61805555555555491</v>
      </c>
      <c r="B71" s="3">
        <v>32</v>
      </c>
      <c r="C71" s="3" t="s">
        <v>53</v>
      </c>
      <c r="D71" s="3">
        <v>8589524098</v>
      </c>
      <c r="E71" s="3" t="s">
        <v>55</v>
      </c>
      <c r="F71" s="3" t="s">
        <v>56</v>
      </c>
      <c r="G71" s="3">
        <v>94401</v>
      </c>
      <c r="H71" s="5" t="s">
        <v>54</v>
      </c>
    </row>
    <row r="72" spans="1:14" ht="62.4" x14ac:dyDescent="0.3">
      <c r="A72" s="7">
        <f>A71+TIME(0,35,0)</f>
        <v>0.64236111111111049</v>
      </c>
      <c r="B72" s="3">
        <v>33</v>
      </c>
      <c r="C72" s="3" t="s">
        <v>20</v>
      </c>
      <c r="D72" s="3">
        <v>4159878158</v>
      </c>
      <c r="E72" s="3" t="s">
        <v>236</v>
      </c>
      <c r="F72" s="3" t="s">
        <v>250</v>
      </c>
      <c r="G72" s="3">
        <v>94132</v>
      </c>
      <c r="H72" s="5" t="s">
        <v>21</v>
      </c>
    </row>
    <row r="74" spans="1:14" x14ac:dyDescent="0.3">
      <c r="E74" t="s">
        <v>191</v>
      </c>
    </row>
    <row r="75" spans="1:14" x14ac:dyDescent="0.3">
      <c r="E75" t="s">
        <v>192</v>
      </c>
      <c r="F75" t="s">
        <v>193</v>
      </c>
      <c r="G75" t="s">
        <v>194</v>
      </c>
      <c r="H75" t="s">
        <v>195</v>
      </c>
      <c r="J75" s="3" t="s">
        <v>285</v>
      </c>
      <c r="K75" s="3" t="s">
        <v>194</v>
      </c>
      <c r="L75" s="3"/>
      <c r="M75" s="3" t="s">
        <v>286</v>
      </c>
      <c r="N75" s="3" t="s">
        <v>194</v>
      </c>
    </row>
    <row r="76" spans="1:14" x14ac:dyDescent="0.3">
      <c r="E76" t="s">
        <v>201</v>
      </c>
      <c r="F76">
        <v>17</v>
      </c>
      <c r="G76">
        <v>33</v>
      </c>
      <c r="H76">
        <v>561</v>
      </c>
      <c r="J76" s="10" t="s">
        <v>287</v>
      </c>
      <c r="K76" s="10">
        <v>7</v>
      </c>
      <c r="L76" s="3"/>
      <c r="M76" s="10" t="s">
        <v>291</v>
      </c>
      <c r="N76" s="10">
        <v>23</v>
      </c>
    </row>
    <row r="77" spans="1:14" x14ac:dyDescent="0.3">
      <c r="E77" t="s">
        <v>211</v>
      </c>
      <c r="F77">
        <v>10</v>
      </c>
      <c r="G77">
        <v>31</v>
      </c>
      <c r="H77">
        <v>310</v>
      </c>
      <c r="J77" s="10" t="s">
        <v>290</v>
      </c>
      <c r="K77" s="10">
        <v>5</v>
      </c>
      <c r="L77" s="3"/>
      <c r="M77" s="10" t="s">
        <v>292</v>
      </c>
      <c r="N77" s="10">
        <v>18</v>
      </c>
    </row>
    <row r="78" spans="1:14" x14ac:dyDescent="0.3">
      <c r="E78" t="s">
        <v>197</v>
      </c>
      <c r="F78">
        <v>20</v>
      </c>
      <c r="G78">
        <v>30</v>
      </c>
      <c r="H78">
        <v>600</v>
      </c>
      <c r="J78" s="10" t="s">
        <v>292</v>
      </c>
      <c r="K78" s="10">
        <v>5</v>
      </c>
      <c r="L78" s="3"/>
      <c r="M78" s="10" t="s">
        <v>287</v>
      </c>
      <c r="N78" s="10">
        <v>17</v>
      </c>
    </row>
    <row r="79" spans="1:14" x14ac:dyDescent="0.3">
      <c r="E79" t="s">
        <v>224</v>
      </c>
      <c r="F79">
        <v>14</v>
      </c>
      <c r="G79">
        <v>24</v>
      </c>
      <c r="H79">
        <v>336</v>
      </c>
      <c r="J79" s="10" t="s">
        <v>295</v>
      </c>
      <c r="K79" s="10">
        <v>4</v>
      </c>
      <c r="L79" s="3"/>
      <c r="M79" s="10" t="s">
        <v>224</v>
      </c>
      <c r="N79" s="10">
        <v>16</v>
      </c>
    </row>
    <row r="80" spans="1:14" x14ac:dyDescent="0.3">
      <c r="E80" t="s">
        <v>210</v>
      </c>
      <c r="F80">
        <v>16</v>
      </c>
      <c r="G80">
        <v>23</v>
      </c>
      <c r="H80">
        <v>368</v>
      </c>
      <c r="J80" s="10" t="s">
        <v>289</v>
      </c>
      <c r="K80" s="10">
        <v>4</v>
      </c>
      <c r="L80" s="3"/>
      <c r="M80" s="10" t="s">
        <v>288</v>
      </c>
      <c r="N80" s="10">
        <v>11</v>
      </c>
    </row>
    <row r="81" spans="5:14" x14ac:dyDescent="0.3">
      <c r="E81" t="s">
        <v>196</v>
      </c>
      <c r="F81">
        <v>15</v>
      </c>
      <c r="G81">
        <v>19</v>
      </c>
      <c r="H81">
        <v>285</v>
      </c>
      <c r="J81" s="10" t="s">
        <v>294</v>
      </c>
      <c r="K81" s="10">
        <v>3</v>
      </c>
      <c r="L81" s="3"/>
      <c r="M81" s="10" t="s">
        <v>294</v>
      </c>
      <c r="N81" s="10">
        <v>10</v>
      </c>
    </row>
    <row r="82" spans="5:14" x14ac:dyDescent="0.3">
      <c r="E82" t="s">
        <v>208</v>
      </c>
      <c r="F82">
        <v>23</v>
      </c>
      <c r="G82">
        <v>19</v>
      </c>
      <c r="H82">
        <v>437</v>
      </c>
      <c r="J82" s="10" t="s">
        <v>291</v>
      </c>
      <c r="K82" s="10">
        <v>3</v>
      </c>
      <c r="L82" s="3"/>
      <c r="M82" s="10" t="s">
        <v>208</v>
      </c>
      <c r="N82" s="10">
        <v>9</v>
      </c>
    </row>
    <row r="83" spans="5:14" x14ac:dyDescent="0.3">
      <c r="E83" t="s">
        <v>199</v>
      </c>
      <c r="F83">
        <v>14</v>
      </c>
      <c r="G83">
        <v>14</v>
      </c>
      <c r="H83">
        <v>196</v>
      </c>
      <c r="J83" s="10" t="s">
        <v>297</v>
      </c>
      <c r="K83" s="10">
        <v>3</v>
      </c>
      <c r="L83" s="3"/>
      <c r="M83" s="10" t="s">
        <v>218</v>
      </c>
      <c r="N83" s="10">
        <v>8</v>
      </c>
    </row>
    <row r="84" spans="5:14" x14ac:dyDescent="0.3">
      <c r="E84" t="s">
        <v>215</v>
      </c>
      <c r="F84">
        <v>11</v>
      </c>
      <c r="G84">
        <v>13</v>
      </c>
      <c r="H84">
        <v>143</v>
      </c>
      <c r="J84" s="10" t="s">
        <v>208</v>
      </c>
      <c r="K84" s="10">
        <v>3</v>
      </c>
      <c r="L84" s="3"/>
      <c r="M84" s="10" t="s">
        <v>290</v>
      </c>
      <c r="N84" s="10">
        <v>7</v>
      </c>
    </row>
    <row r="85" spans="5:14" x14ac:dyDescent="0.3">
      <c r="E85" t="s">
        <v>207</v>
      </c>
      <c r="F85">
        <v>24</v>
      </c>
      <c r="G85">
        <v>12</v>
      </c>
      <c r="H85">
        <v>288</v>
      </c>
      <c r="J85" s="10" t="s">
        <v>288</v>
      </c>
      <c r="K85" s="10">
        <v>3</v>
      </c>
      <c r="L85" s="3"/>
      <c r="M85" s="10" t="s">
        <v>297</v>
      </c>
      <c r="N85" s="10">
        <v>6</v>
      </c>
    </row>
    <row r="86" spans="5:14" x14ac:dyDescent="0.3">
      <c r="E86" t="s">
        <v>218</v>
      </c>
      <c r="F86">
        <v>10</v>
      </c>
      <c r="G86">
        <v>12</v>
      </c>
      <c r="H86">
        <v>120</v>
      </c>
      <c r="J86" s="10" t="s">
        <v>218</v>
      </c>
      <c r="K86" s="10">
        <v>3</v>
      </c>
      <c r="L86" s="3"/>
      <c r="M86" s="10" t="s">
        <v>222</v>
      </c>
      <c r="N86" s="10">
        <v>6</v>
      </c>
    </row>
    <row r="87" spans="5:14" x14ac:dyDescent="0.3">
      <c r="E87" t="s">
        <v>222</v>
      </c>
      <c r="F87">
        <v>19</v>
      </c>
      <c r="G87">
        <v>12</v>
      </c>
      <c r="H87">
        <v>228</v>
      </c>
      <c r="J87" s="10" t="s">
        <v>224</v>
      </c>
      <c r="K87" s="10">
        <v>3</v>
      </c>
      <c r="L87" s="3"/>
      <c r="M87" s="10" t="s">
        <v>306</v>
      </c>
      <c r="N87" s="10">
        <v>6</v>
      </c>
    </row>
    <row r="88" spans="5:14" x14ac:dyDescent="0.3">
      <c r="E88" t="s">
        <v>204</v>
      </c>
      <c r="F88">
        <v>24</v>
      </c>
      <c r="G88">
        <v>10</v>
      </c>
      <c r="H88">
        <v>240</v>
      </c>
      <c r="J88" s="10" t="s">
        <v>299</v>
      </c>
      <c r="K88" s="10">
        <v>2</v>
      </c>
      <c r="L88" s="3"/>
      <c r="M88" s="10" t="s">
        <v>295</v>
      </c>
      <c r="N88" s="10">
        <v>5</v>
      </c>
    </row>
    <row r="89" spans="5:14" x14ac:dyDescent="0.3">
      <c r="E89" t="s">
        <v>206</v>
      </c>
      <c r="F89">
        <v>29</v>
      </c>
      <c r="G89">
        <v>9</v>
      </c>
      <c r="H89">
        <v>261</v>
      </c>
      <c r="J89" s="10" t="s">
        <v>296</v>
      </c>
      <c r="K89" s="10">
        <v>2</v>
      </c>
      <c r="L89" s="3"/>
      <c r="M89" s="10" t="s">
        <v>296</v>
      </c>
      <c r="N89" s="10">
        <v>5</v>
      </c>
    </row>
    <row r="90" spans="5:14" x14ac:dyDescent="0.3">
      <c r="E90" t="s">
        <v>226</v>
      </c>
      <c r="F90">
        <v>28</v>
      </c>
      <c r="G90">
        <v>9</v>
      </c>
      <c r="H90">
        <v>252</v>
      </c>
      <c r="J90" s="10" t="s">
        <v>293</v>
      </c>
      <c r="K90" s="10">
        <v>2</v>
      </c>
      <c r="L90" s="3"/>
      <c r="M90" s="10" t="s">
        <v>226</v>
      </c>
      <c r="N90" s="10">
        <v>5</v>
      </c>
    </row>
    <row r="91" spans="5:14" x14ac:dyDescent="0.3">
      <c r="E91" t="s">
        <v>203</v>
      </c>
      <c r="F91">
        <v>19</v>
      </c>
      <c r="G91">
        <v>8</v>
      </c>
      <c r="H91">
        <v>152</v>
      </c>
      <c r="J91" s="10" t="s">
        <v>300</v>
      </c>
      <c r="K91" s="10">
        <v>2</v>
      </c>
      <c r="L91" s="3"/>
      <c r="M91" s="10" t="s">
        <v>307</v>
      </c>
      <c r="N91" s="10">
        <v>4</v>
      </c>
    </row>
    <row r="92" spans="5:14" x14ac:dyDescent="0.3">
      <c r="E92" t="s">
        <v>216</v>
      </c>
      <c r="F92">
        <v>15</v>
      </c>
      <c r="G92">
        <v>8</v>
      </c>
      <c r="H92">
        <v>120</v>
      </c>
      <c r="J92" s="10" t="s">
        <v>222</v>
      </c>
      <c r="K92" s="10">
        <v>2</v>
      </c>
      <c r="L92" s="3"/>
      <c r="M92" s="10" t="s">
        <v>299</v>
      </c>
      <c r="N92" s="10">
        <v>4</v>
      </c>
    </row>
    <row r="93" spans="5:14" x14ac:dyDescent="0.3">
      <c r="E93" t="s">
        <v>225</v>
      </c>
      <c r="F93">
        <v>20</v>
      </c>
      <c r="G93">
        <v>8</v>
      </c>
      <c r="H93">
        <v>160</v>
      </c>
      <c r="J93" s="10" t="s">
        <v>298</v>
      </c>
      <c r="K93" s="10">
        <v>1</v>
      </c>
      <c r="L93" s="3"/>
      <c r="M93" s="10" t="s">
        <v>289</v>
      </c>
      <c r="N93" s="10">
        <v>4</v>
      </c>
    </row>
    <row r="94" spans="5:14" x14ac:dyDescent="0.3">
      <c r="E94" t="s">
        <v>200</v>
      </c>
      <c r="F94">
        <v>17</v>
      </c>
      <c r="G94">
        <v>7</v>
      </c>
      <c r="H94">
        <v>119</v>
      </c>
      <c r="J94" s="10" t="s">
        <v>205</v>
      </c>
      <c r="K94" s="10">
        <v>1</v>
      </c>
      <c r="L94" s="3"/>
      <c r="M94" s="10" t="s">
        <v>300</v>
      </c>
      <c r="N94" s="10">
        <v>4</v>
      </c>
    </row>
    <row r="95" spans="5:14" x14ac:dyDescent="0.3">
      <c r="E95" t="s">
        <v>202</v>
      </c>
      <c r="F95">
        <v>19</v>
      </c>
      <c r="G95">
        <v>6</v>
      </c>
      <c r="H95">
        <v>114</v>
      </c>
      <c r="J95" s="10" t="s">
        <v>303</v>
      </c>
      <c r="K95" s="10">
        <v>1</v>
      </c>
      <c r="L95" s="3"/>
      <c r="M95" s="10" t="s">
        <v>223</v>
      </c>
      <c r="N95" s="10">
        <v>4</v>
      </c>
    </row>
    <row r="96" spans="5:14" x14ac:dyDescent="0.3">
      <c r="E96" t="s">
        <v>212</v>
      </c>
      <c r="F96">
        <v>10</v>
      </c>
      <c r="G96">
        <v>6</v>
      </c>
      <c r="H96">
        <v>60</v>
      </c>
      <c r="J96" s="10" t="s">
        <v>217</v>
      </c>
      <c r="K96" s="10">
        <v>1</v>
      </c>
      <c r="L96" s="3"/>
      <c r="M96" s="10" t="s">
        <v>301</v>
      </c>
      <c r="N96" s="10">
        <v>3</v>
      </c>
    </row>
    <row r="97" spans="5:14" x14ac:dyDescent="0.3">
      <c r="E97" t="s">
        <v>214</v>
      </c>
      <c r="F97">
        <v>20</v>
      </c>
      <c r="G97">
        <v>5</v>
      </c>
      <c r="H97">
        <v>100</v>
      </c>
      <c r="J97" s="10" t="s">
        <v>304</v>
      </c>
      <c r="K97" s="10">
        <v>1</v>
      </c>
      <c r="L97" s="3"/>
      <c r="M97" s="10" t="s">
        <v>219</v>
      </c>
      <c r="N97" s="10">
        <v>3</v>
      </c>
    </row>
    <row r="98" spans="5:14" x14ac:dyDescent="0.3">
      <c r="E98" t="s">
        <v>223</v>
      </c>
      <c r="F98">
        <v>29</v>
      </c>
      <c r="G98">
        <v>5</v>
      </c>
      <c r="H98">
        <v>145</v>
      </c>
      <c r="J98" s="10" t="s">
        <v>305</v>
      </c>
      <c r="K98" s="10">
        <v>1</v>
      </c>
      <c r="L98" s="3"/>
      <c r="M98" s="10" t="s">
        <v>217</v>
      </c>
      <c r="N98" s="10">
        <v>2</v>
      </c>
    </row>
    <row r="99" spans="5:14" x14ac:dyDescent="0.3">
      <c r="E99" t="s">
        <v>198</v>
      </c>
      <c r="F99">
        <v>17</v>
      </c>
      <c r="G99">
        <v>4</v>
      </c>
      <c r="H99">
        <v>68</v>
      </c>
      <c r="J99" s="10" t="s">
        <v>223</v>
      </c>
      <c r="K99" s="10">
        <v>1</v>
      </c>
      <c r="L99" s="3"/>
      <c r="M99" s="10" t="s">
        <v>298</v>
      </c>
      <c r="N99" s="10">
        <v>1</v>
      </c>
    </row>
    <row r="100" spans="5:14" x14ac:dyDescent="0.3">
      <c r="E100" t="s">
        <v>217</v>
      </c>
      <c r="F100">
        <v>29</v>
      </c>
      <c r="G100">
        <v>4</v>
      </c>
      <c r="H100">
        <v>116</v>
      </c>
      <c r="J100" s="10"/>
      <c r="K100" s="10"/>
      <c r="L100" s="3"/>
      <c r="M100" s="10" t="s">
        <v>293</v>
      </c>
      <c r="N100" s="10">
        <v>1</v>
      </c>
    </row>
    <row r="101" spans="5:14" x14ac:dyDescent="0.3">
      <c r="E101" t="s">
        <v>219</v>
      </c>
      <c r="F101">
        <v>16</v>
      </c>
      <c r="G101">
        <v>4</v>
      </c>
      <c r="H101">
        <v>64</v>
      </c>
      <c r="J101" s="10"/>
      <c r="K101" s="10"/>
      <c r="L101" s="3"/>
      <c r="M101" s="10" t="s">
        <v>302</v>
      </c>
      <c r="N101" s="10">
        <v>1</v>
      </c>
    </row>
    <row r="102" spans="5:14" x14ac:dyDescent="0.3">
      <c r="E102" t="s">
        <v>221</v>
      </c>
      <c r="F102">
        <v>20</v>
      </c>
      <c r="G102">
        <v>4</v>
      </c>
      <c r="H102">
        <v>80</v>
      </c>
      <c r="J102" s="10"/>
      <c r="K102" s="10"/>
      <c r="L102" s="3"/>
      <c r="M102" s="10" t="s">
        <v>303</v>
      </c>
      <c r="N102" s="10">
        <v>1</v>
      </c>
    </row>
    <row r="103" spans="5:14" x14ac:dyDescent="0.3">
      <c r="E103" t="s">
        <v>213</v>
      </c>
      <c r="F103">
        <v>19</v>
      </c>
      <c r="G103">
        <v>3</v>
      </c>
      <c r="H103">
        <v>57</v>
      </c>
      <c r="J103" s="3"/>
      <c r="K103" s="3"/>
      <c r="L103" s="3"/>
      <c r="M103" s="10" t="s">
        <v>305</v>
      </c>
      <c r="N103" s="10">
        <v>1</v>
      </c>
    </row>
    <row r="104" spans="5:14" x14ac:dyDescent="0.3">
      <c r="E104" t="s">
        <v>205</v>
      </c>
      <c r="F104">
        <v>30</v>
      </c>
      <c r="G104">
        <v>1</v>
      </c>
      <c r="H104">
        <v>30</v>
      </c>
    </row>
    <row r="105" spans="5:14" x14ac:dyDescent="0.3">
      <c r="E105" t="s">
        <v>209</v>
      </c>
      <c r="F105">
        <v>15</v>
      </c>
      <c r="G105">
        <v>1</v>
      </c>
      <c r="H105">
        <v>15</v>
      </c>
    </row>
    <row r="106" spans="5:14" x14ac:dyDescent="0.3">
      <c r="E106" t="s">
        <v>220</v>
      </c>
      <c r="F106">
        <v>15</v>
      </c>
      <c r="G106">
        <v>1</v>
      </c>
      <c r="H106">
        <v>15</v>
      </c>
    </row>
    <row r="107" spans="5:14" x14ac:dyDescent="0.3">
      <c r="E107" t="s">
        <v>227</v>
      </c>
      <c r="H107">
        <v>6040</v>
      </c>
    </row>
  </sheetData>
  <sheetProtection formatCells="0" formatColumns="0" formatRows="0" insertColumns="0" insertRows="0" insertHyperlinks="0" deleteColumns="0" deleteRows="0" sort="0" autoFilter="0" pivotTables="0"/>
  <autoFilter ref="A75:N75" xr:uid="{00000000-0001-0000-0000-000000000000}">
    <sortState xmlns:xlrd2="http://schemas.microsoft.com/office/spreadsheetml/2017/richdata2" ref="E76:H107">
      <sortCondition descending="1" ref="G75"/>
    </sortState>
  </autoFilter>
  <mergeCells count="1">
    <mergeCell ref="C1:H1"/>
  </mergeCells>
  <phoneticPr fontId="3" type="noConversion"/>
  <pageMargins left="0.25" right="0.25" top="0.75" bottom="0.75" header="0.3" footer="0.3"/>
  <pageSetup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Helen Xue</cp:lastModifiedBy>
  <cp:lastPrinted>2026-02-18T04:06:05Z</cp:lastPrinted>
  <dcterms:created xsi:type="dcterms:W3CDTF">2026-02-15T23:12:01Z</dcterms:created>
  <dcterms:modified xsi:type="dcterms:W3CDTF">2026-02-18T04:08:57Z</dcterms:modified>
  <cp:category/>
</cp:coreProperties>
</file>